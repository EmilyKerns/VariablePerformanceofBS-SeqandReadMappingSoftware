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Genohub_seq\methylation_methods_comparison\Metadata\QC\"/>
    </mc:Choice>
  </mc:AlternateContent>
  <xr:revisionPtr revIDLastSave="0" documentId="13_ncr:1_{B6A5F5CB-6700-4C72-A13C-63CE80F297A7}" xr6:coauthVersionLast="47" xr6:coauthVersionMax="47" xr10:uidLastSave="{00000000-0000-0000-0000-000000000000}"/>
  <bookViews>
    <workbookView xWindow="-108" yWindow="-108" windowWidth="23256" windowHeight="13896" firstSheet="2" activeTab="6" xr2:uid="{8A55A128-0B83-46B4-92FE-1C8A8D9DD7F2}"/>
  </bookViews>
  <sheets>
    <sheet name="TrimGaloreFastQC" sheetId="1" r:id="rId1"/>
    <sheet name="MethylKitNumCs" sheetId="6" r:id="rId2"/>
    <sheet name="BamtoolsStats" sheetId="2" r:id="rId3"/>
    <sheet name="WBGSBamtoolsStats" sheetId="3" r:id="rId4"/>
    <sheet name="MethylKitDepth" sheetId="4" r:id="rId5"/>
    <sheet name="MethylKitPercMethperBase" sheetId="5" r:id="rId6"/>
    <sheet name="MeanPercMeth" sheetId="8" r:id="rId7"/>
    <sheet name="InsertSize" sheetId="7" r:id="rId8"/>
    <sheet name="BismarkDirectiona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Q8" i="5"/>
  <c r="Q7" i="5"/>
  <c r="Q6" i="5"/>
  <c r="Q5" i="5"/>
  <c r="L19" i="9"/>
  <c r="L18" i="9"/>
  <c r="N16" i="4"/>
  <c r="N15" i="4"/>
  <c r="N12" i="4"/>
  <c r="N11" i="4"/>
  <c r="O9" i="4"/>
  <c r="N9" i="4"/>
  <c r="O8" i="4"/>
  <c r="N8" i="4"/>
  <c r="Q13" i="5"/>
  <c r="Q16" i="5"/>
  <c r="Q15" i="5"/>
  <c r="Q14" i="5"/>
  <c r="O81" i="5"/>
  <c r="M81" i="5"/>
  <c r="N81" i="5" s="1"/>
  <c r="O80" i="5"/>
  <c r="M80" i="5"/>
  <c r="O79" i="5"/>
  <c r="M79" i="5"/>
  <c r="N79" i="5" s="1"/>
  <c r="O78" i="5"/>
  <c r="M78" i="5"/>
  <c r="N78" i="5" s="1"/>
  <c r="O43" i="5"/>
  <c r="M43" i="5"/>
  <c r="O42" i="5"/>
  <c r="M42" i="5"/>
  <c r="N42" i="5" s="1"/>
  <c r="O41" i="5"/>
  <c r="M41" i="5"/>
  <c r="N41" i="5" s="1"/>
  <c r="O40" i="5"/>
  <c r="M40" i="5"/>
  <c r="O5" i="5"/>
  <c r="M5" i="5"/>
  <c r="N5" i="5" s="1"/>
  <c r="O4" i="5"/>
  <c r="M4" i="5"/>
  <c r="O3" i="5"/>
  <c r="M3" i="5"/>
  <c r="O2" i="5"/>
  <c r="M2" i="5"/>
  <c r="O72" i="5"/>
  <c r="M72" i="5"/>
  <c r="N72" i="5" s="1"/>
  <c r="O60" i="5"/>
  <c r="M60" i="5"/>
  <c r="N60" i="5" s="1"/>
  <c r="O62" i="5"/>
  <c r="M62" i="5"/>
  <c r="O63" i="5"/>
  <c r="M63" i="5"/>
  <c r="N61" i="5"/>
  <c r="N73" i="5"/>
  <c r="O70" i="5"/>
  <c r="M70" i="5"/>
  <c r="O59" i="5"/>
  <c r="M59" i="5"/>
  <c r="N59" i="5" s="1"/>
  <c r="O58" i="5"/>
  <c r="M58" i="5"/>
  <c r="O57" i="5"/>
  <c r="M57" i="5"/>
  <c r="N57" i="5" s="1"/>
  <c r="O56" i="5"/>
  <c r="M56" i="5"/>
  <c r="O47" i="5"/>
  <c r="M47" i="5"/>
  <c r="O46" i="5"/>
  <c r="M46" i="5"/>
  <c r="N46" i="5" s="1"/>
  <c r="O45" i="5"/>
  <c r="M45" i="5"/>
  <c r="N45" i="5" s="1"/>
  <c r="O69" i="5"/>
  <c r="M69" i="5"/>
  <c r="O68" i="5"/>
  <c r="M68" i="5"/>
  <c r="N68" i="5" s="1"/>
  <c r="O67" i="5"/>
  <c r="M67" i="5"/>
  <c r="N67" i="5" s="1"/>
  <c r="O51" i="5"/>
  <c r="M51" i="5"/>
  <c r="O50" i="5"/>
  <c r="M50" i="5"/>
  <c r="N50" i="5" s="1"/>
  <c r="O49" i="5"/>
  <c r="M49" i="5"/>
  <c r="O48" i="5"/>
  <c r="M48" i="5"/>
  <c r="O66" i="5"/>
  <c r="M66" i="5"/>
  <c r="N66" i="5" s="1"/>
  <c r="O65" i="5"/>
  <c r="M65" i="5"/>
  <c r="N65" i="5" s="1"/>
  <c r="O64" i="5"/>
  <c r="M64" i="5"/>
  <c r="N64" i="5" s="1"/>
  <c r="O55" i="5"/>
  <c r="M55" i="5"/>
  <c r="O54" i="5"/>
  <c r="M54" i="5"/>
  <c r="O53" i="5"/>
  <c r="M53" i="5"/>
  <c r="O52" i="5"/>
  <c r="M52" i="5"/>
  <c r="N52" i="5"/>
  <c r="O39" i="5"/>
  <c r="M39" i="5"/>
  <c r="N39" i="5" s="1"/>
  <c r="O38" i="5"/>
  <c r="M38" i="5"/>
  <c r="O37" i="5"/>
  <c r="M37" i="5"/>
  <c r="O36" i="5"/>
  <c r="M36" i="5"/>
  <c r="O25" i="5"/>
  <c r="M25" i="5"/>
  <c r="O24" i="5"/>
  <c r="M24" i="5"/>
  <c r="O23" i="5"/>
  <c r="M23" i="5"/>
  <c r="O22" i="5"/>
  <c r="M22" i="5"/>
  <c r="N22" i="5" s="1"/>
  <c r="O35" i="5"/>
  <c r="M35" i="5"/>
  <c r="O34" i="5"/>
  <c r="N34" i="5" s="1"/>
  <c r="M34" i="5"/>
  <c r="O33" i="5"/>
  <c r="M33" i="5"/>
  <c r="O32" i="5"/>
  <c r="M32" i="5"/>
  <c r="O21" i="5"/>
  <c r="M21" i="5"/>
  <c r="N21" i="5" s="1"/>
  <c r="O20" i="5"/>
  <c r="M20" i="5"/>
  <c r="N20" i="5" s="1"/>
  <c r="O19" i="5"/>
  <c r="M19" i="5"/>
  <c r="O18" i="5"/>
  <c r="M18" i="5"/>
  <c r="N18" i="5" s="1"/>
  <c r="O9" i="5"/>
  <c r="M9" i="5"/>
  <c r="O8" i="5"/>
  <c r="M8" i="5"/>
  <c r="O7" i="5"/>
  <c r="M7" i="5"/>
  <c r="O6" i="5"/>
  <c r="M6" i="5"/>
  <c r="O31" i="5"/>
  <c r="M31" i="5"/>
  <c r="O30" i="5"/>
  <c r="M30" i="5"/>
  <c r="O29" i="5"/>
  <c r="M29" i="5"/>
  <c r="O13" i="5"/>
  <c r="M13" i="5"/>
  <c r="O12" i="5"/>
  <c r="M12" i="5"/>
  <c r="O11" i="5"/>
  <c r="M11" i="5"/>
  <c r="O10" i="5"/>
  <c r="M10" i="5"/>
  <c r="O28" i="5"/>
  <c r="M28" i="5"/>
  <c r="O27" i="5"/>
  <c r="M27" i="5"/>
  <c r="N27" i="5" s="1"/>
  <c r="O26" i="5"/>
  <c r="M26" i="5"/>
  <c r="O17" i="5"/>
  <c r="M17" i="5"/>
  <c r="O16" i="5"/>
  <c r="M16" i="5"/>
  <c r="O15" i="5"/>
  <c r="M15" i="5"/>
  <c r="O14" i="5"/>
  <c r="M14" i="5"/>
  <c r="N3" i="5"/>
  <c r="N4" i="5"/>
  <c r="N19" i="5"/>
  <c r="N32" i="5"/>
  <c r="N40" i="5"/>
  <c r="N44" i="5"/>
  <c r="N47" i="5"/>
  <c r="N55" i="5"/>
  <c r="N71" i="5"/>
  <c r="N74" i="5"/>
  <c r="N75" i="5"/>
  <c r="N76" i="5"/>
  <c r="N77" i="5"/>
  <c r="N80" i="5"/>
  <c r="N2" i="5"/>
  <c r="O115" i="5"/>
  <c r="M115" i="5"/>
  <c r="O114" i="5"/>
  <c r="M114" i="5"/>
  <c r="O113" i="5"/>
  <c r="M113" i="5"/>
  <c r="O112" i="5"/>
  <c r="M112" i="5"/>
  <c r="O101" i="5"/>
  <c r="M101" i="5"/>
  <c r="O100" i="5"/>
  <c r="M100" i="5"/>
  <c r="O99" i="5"/>
  <c r="M99" i="5"/>
  <c r="O98" i="5"/>
  <c r="M98" i="5"/>
  <c r="O111" i="5"/>
  <c r="M111" i="5"/>
  <c r="O110" i="5"/>
  <c r="M110" i="5"/>
  <c r="O109" i="5"/>
  <c r="M109" i="5"/>
  <c r="O108" i="5"/>
  <c r="M108" i="5"/>
  <c r="O97" i="5"/>
  <c r="M97" i="5"/>
  <c r="N97" i="5" s="1"/>
  <c r="O96" i="5"/>
  <c r="M96" i="5"/>
  <c r="O95" i="5"/>
  <c r="M95" i="5"/>
  <c r="O94" i="5"/>
  <c r="M94" i="5"/>
  <c r="O85" i="5"/>
  <c r="M85" i="5"/>
  <c r="O84" i="5"/>
  <c r="M84" i="5"/>
  <c r="N84" i="5" s="1"/>
  <c r="O83" i="5"/>
  <c r="M83" i="5"/>
  <c r="O82" i="5"/>
  <c r="M82" i="5"/>
  <c r="O107" i="5"/>
  <c r="M107" i="5"/>
  <c r="O106" i="5"/>
  <c r="M106" i="5"/>
  <c r="O105" i="5"/>
  <c r="M105" i="5"/>
  <c r="N105" i="5" s="1"/>
  <c r="O89" i="5"/>
  <c r="M89" i="5"/>
  <c r="N89" i="5" s="1"/>
  <c r="O88" i="5"/>
  <c r="M88" i="5"/>
  <c r="O87" i="5"/>
  <c r="M87" i="5"/>
  <c r="O86" i="5"/>
  <c r="M86" i="5"/>
  <c r="O104" i="5"/>
  <c r="M104" i="5"/>
  <c r="O103" i="5"/>
  <c r="M103" i="5"/>
  <c r="N103" i="5" s="1"/>
  <c r="O102" i="5"/>
  <c r="M102" i="5"/>
  <c r="O93" i="5"/>
  <c r="M93" i="5"/>
  <c r="N93" i="5" s="1"/>
  <c r="O92" i="5"/>
  <c r="M92" i="5"/>
  <c r="N92" i="5" s="1"/>
  <c r="O91" i="5"/>
  <c r="M91" i="5"/>
  <c r="O90" i="5"/>
  <c r="M90" i="5"/>
  <c r="N90" i="5" s="1"/>
  <c r="N13" i="4"/>
  <c r="I80" i="6"/>
  <c r="H78" i="6"/>
  <c r="H40" i="6"/>
  <c r="H2" i="6"/>
  <c r="B51" i="7"/>
  <c r="E21" i="7"/>
  <c r="E20" i="7"/>
  <c r="E19" i="7"/>
  <c r="B50" i="7"/>
  <c r="B49" i="7"/>
  <c r="M4" i="1"/>
  <c r="M15" i="1"/>
  <c r="P34" i="1"/>
  <c r="P33" i="1"/>
  <c r="P32" i="1"/>
  <c r="P36" i="1" s="1"/>
  <c r="P37" i="1" s="1"/>
  <c r="P31" i="1"/>
  <c r="P25" i="1"/>
  <c r="P24" i="1"/>
  <c r="P23" i="1"/>
  <c r="P22" i="1"/>
  <c r="P21" i="1"/>
  <c r="P20" i="1"/>
  <c r="P19" i="1"/>
  <c r="P18" i="1"/>
  <c r="P17" i="1"/>
  <c r="P16" i="1"/>
  <c r="P15" i="1"/>
  <c r="P14" i="1"/>
  <c r="M35" i="1"/>
  <c r="M34" i="1"/>
  <c r="M33" i="1"/>
  <c r="M32" i="1"/>
  <c r="M31" i="1"/>
  <c r="M29" i="1"/>
  <c r="M30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6" i="1"/>
  <c r="M3" i="1"/>
  <c r="P27" i="1" l="1"/>
  <c r="P28" i="1" s="1"/>
  <c r="P35" i="1"/>
  <c r="P26" i="1"/>
  <c r="M36" i="1"/>
  <c r="M37" i="1"/>
  <c r="M38" i="1" s="1"/>
  <c r="N43" i="5"/>
  <c r="N62" i="5"/>
  <c r="N63" i="5"/>
  <c r="N51" i="5"/>
  <c r="N91" i="5"/>
  <c r="N83" i="5"/>
  <c r="N94" i="5"/>
  <c r="N16" i="5"/>
  <c r="N8" i="5"/>
  <c r="N33" i="5"/>
  <c r="N106" i="5"/>
  <c r="N38" i="5"/>
  <c r="N28" i="5"/>
  <c r="N108" i="5"/>
  <c r="N24" i="5"/>
  <c r="N112" i="5"/>
  <c r="N53" i="5"/>
  <c r="N49" i="5"/>
  <c r="N25" i="5"/>
  <c r="N113" i="5"/>
  <c r="N36" i="5"/>
  <c r="N54" i="5"/>
  <c r="N96" i="5"/>
  <c r="N58" i="5"/>
  <c r="N102" i="5"/>
  <c r="N70" i="5"/>
  <c r="N56" i="5"/>
  <c r="N69" i="5"/>
  <c r="N48" i="5"/>
  <c r="N37" i="5"/>
  <c r="N23" i="5"/>
  <c r="N35" i="5"/>
  <c r="N9" i="5"/>
  <c r="N7" i="5"/>
  <c r="N6" i="5"/>
  <c r="N31" i="5"/>
  <c r="N30" i="5"/>
  <c r="N29" i="5"/>
  <c r="N13" i="5"/>
  <c r="N12" i="5"/>
  <c r="N11" i="5"/>
  <c r="N10" i="5"/>
  <c r="N26" i="5"/>
  <c r="N17" i="5"/>
  <c r="N15" i="5"/>
  <c r="N14" i="5"/>
  <c r="N115" i="5"/>
  <c r="N114" i="5"/>
  <c r="N101" i="5"/>
  <c r="N100" i="5"/>
  <c r="N99" i="5"/>
  <c r="N98" i="5"/>
  <c r="N111" i="5"/>
  <c r="N110" i="5"/>
  <c r="N109" i="5"/>
  <c r="N95" i="5"/>
  <c r="N85" i="5"/>
  <c r="N82" i="5"/>
  <c r="N107" i="5"/>
  <c r="N88" i="5"/>
  <c r="N87" i="5"/>
  <c r="N86" i="5"/>
  <c r="N104" i="5"/>
</calcChain>
</file>

<file path=xl/sharedStrings.xml><?xml version="1.0" encoding="utf-8"?>
<sst xmlns="http://schemas.openxmlformats.org/spreadsheetml/2006/main" count="10607" uniqueCount="523">
  <si>
    <t>Environment</t>
  </si>
  <si>
    <t>Population</t>
  </si>
  <si>
    <t>SampleID</t>
  </si>
  <si>
    <t>TotalSequences</t>
  </si>
  <si>
    <t>TotalBases</t>
  </si>
  <si>
    <t>PoorQualitySeq</t>
  </si>
  <si>
    <t>Gccontent</t>
  </si>
  <si>
    <t>SequenceLengthMin</t>
  </si>
  <si>
    <t>SequenceLengthMax</t>
  </si>
  <si>
    <t>Common Garden</t>
  </si>
  <si>
    <t>Gosling</t>
  </si>
  <si>
    <t>CG_GOS_001_R1</t>
  </si>
  <si>
    <t>CG_GOS_001_R2</t>
  </si>
  <si>
    <t>CG_GOS_002_R1</t>
  </si>
  <si>
    <t>CG_GOS_002_R2</t>
  </si>
  <si>
    <t>Roberts</t>
  </si>
  <si>
    <t>CG_ROB_001_R1</t>
  </si>
  <si>
    <t>CG_ROB_001_R2</t>
  </si>
  <si>
    <t>CG_ROB_002_R1</t>
  </si>
  <si>
    <t>CG_ROB_002_R2</t>
  </si>
  <si>
    <t>Sayward</t>
  </si>
  <si>
    <t>CG_SAY_001_R1</t>
  </si>
  <si>
    <t>CG_SAY_001_R2</t>
  </si>
  <si>
    <t>CG_SAY_002_R1</t>
  </si>
  <si>
    <t>CG_SAY_002_R2</t>
  </si>
  <si>
    <t>Wik</t>
  </si>
  <si>
    <t>CG_WK_001_R1</t>
  </si>
  <si>
    <t>CG_WK_001_R2</t>
  </si>
  <si>
    <t>CG_WK_002_R1</t>
  </si>
  <si>
    <t>CG_WK_002_R2</t>
  </si>
  <si>
    <t>CG_WK_003_R1</t>
  </si>
  <si>
    <t>CG_WK_003_R2</t>
  </si>
  <si>
    <t>CG_WK_004_R1</t>
  </si>
  <si>
    <t>CG_WK_004_R2</t>
  </si>
  <si>
    <t>Watson</t>
  </si>
  <si>
    <t>CG_WT_001_R1</t>
  </si>
  <si>
    <t>CG_WT_001_R2</t>
  </si>
  <si>
    <t>CG_WT_002_R1</t>
  </si>
  <si>
    <t>CG_WT_002_R2</t>
  </si>
  <si>
    <t>CG_WT_003_R1</t>
  </si>
  <si>
    <t>CG_WT_003_R2</t>
  </si>
  <si>
    <t>CG_WT_004_R1</t>
  </si>
  <si>
    <t>CG_WT_004_R2</t>
  </si>
  <si>
    <t>Field</t>
  </si>
  <si>
    <t>FD_WK_002_R1</t>
  </si>
  <si>
    <t>FD_WK_002_R2</t>
  </si>
  <si>
    <t>FD_WK_005_R1</t>
  </si>
  <si>
    <t>FD_WK_005_R2</t>
  </si>
  <si>
    <t>FD_WK_011_R1</t>
  </si>
  <si>
    <t>FD_WK_011_R2</t>
  </si>
  <si>
    <t>FD_WK_012_R1</t>
  </si>
  <si>
    <t>FD_WK_012_R2</t>
  </si>
  <si>
    <t>FD_WT_004_R1</t>
  </si>
  <si>
    <t>FD_WT_004_R2</t>
  </si>
  <si>
    <t>FD_WT_007_R1</t>
  </si>
  <si>
    <t>FD_WT_007_R2</t>
  </si>
  <si>
    <t>FD_WT_016_R1</t>
  </si>
  <si>
    <t>FD_WT_016_R2</t>
  </si>
  <si>
    <t>FD_WT_017_R1</t>
  </si>
  <si>
    <t>FD_WT_017_R2</t>
  </si>
  <si>
    <t>MeanBases</t>
  </si>
  <si>
    <t>MeanSequences</t>
  </si>
  <si>
    <t>StdDevSequences</t>
  </si>
  <si>
    <t>Mean sequences per samples = 5,237,195 +- 628,432</t>
  </si>
  <si>
    <t>Mean sequences per samples = 5.25 +- 0.63 million</t>
  </si>
  <si>
    <t>TotalReads</t>
  </si>
  <si>
    <t>MappedReads</t>
  </si>
  <si>
    <t>PercentMapped</t>
  </si>
  <si>
    <t>ForwardStrand</t>
  </si>
  <si>
    <t>ReverseStrand</t>
  </si>
  <si>
    <t>Duplicates</t>
  </si>
  <si>
    <t>BothPairsMapped</t>
  </si>
  <si>
    <t>Read1</t>
  </si>
  <si>
    <t>Read2</t>
  </si>
  <si>
    <t>Singletons</t>
  </si>
  <si>
    <t>CG_22_GOS_001</t>
  </si>
  <si>
    <t>PercentForwardStrand</t>
  </si>
  <si>
    <t>PercentReverseStrand</t>
  </si>
  <si>
    <t>PercentBothPairsMapped</t>
  </si>
  <si>
    <t>PercentSingletons</t>
  </si>
  <si>
    <t>CG_22_GOS_002</t>
  </si>
  <si>
    <t>PercentPairedEndReads</t>
  </si>
  <si>
    <t>CG_22_ROB_001</t>
  </si>
  <si>
    <t>CG_22_ROB_002</t>
  </si>
  <si>
    <t>FailedQC</t>
  </si>
  <si>
    <t>CG_22_SAY_001</t>
  </si>
  <si>
    <t>CG_22_SAY_002</t>
  </si>
  <si>
    <t>AlignmentMethod</t>
  </si>
  <si>
    <t>bwa mem</t>
  </si>
  <si>
    <t>CG_22_WK_001</t>
  </si>
  <si>
    <t>CG_22_WK_002</t>
  </si>
  <si>
    <t>CG_22_WK_003</t>
  </si>
  <si>
    <t>CG_22_WK_004</t>
  </si>
  <si>
    <t>CG_22_WT_001</t>
  </si>
  <si>
    <t>CG_22_WT_002</t>
  </si>
  <si>
    <t>CG_22_WT_003</t>
  </si>
  <si>
    <t>CG_22_WT_004</t>
  </si>
  <si>
    <t>bwa meth</t>
  </si>
  <si>
    <t>FD_22_WK_002</t>
  </si>
  <si>
    <t>AverageInsertSize</t>
  </si>
  <si>
    <t>MedianInsertSize</t>
  </si>
  <si>
    <t>FD_22_WK_005</t>
  </si>
  <si>
    <t>FD_22_WK_011</t>
  </si>
  <si>
    <t>FD_22_WK_012</t>
  </si>
  <si>
    <t>FD_22_WT_004</t>
  </si>
  <si>
    <t>FD_22_WT_007</t>
  </si>
  <si>
    <t>FD_22_WT_016</t>
  </si>
  <si>
    <t>FD_22_WT_017</t>
  </si>
  <si>
    <t>WGBS_CG_22_WK_002</t>
  </si>
  <si>
    <t>WGBS_CG_22_WK_003</t>
  </si>
  <si>
    <t>WGBS_CG_22_WT_002</t>
  </si>
  <si>
    <t>WGBS_CG_22_WT_004</t>
  </si>
  <si>
    <t>RearingEnv</t>
  </si>
  <si>
    <t>SequencingMethod</t>
  </si>
  <si>
    <t>Min</t>
  </si>
  <si>
    <t>1stQuart</t>
  </si>
  <si>
    <t>Median</t>
  </si>
  <si>
    <t>Mean</t>
  </si>
  <si>
    <t>3rdQuart</t>
  </si>
  <si>
    <t>Max</t>
  </si>
  <si>
    <t>RRBS</t>
  </si>
  <si>
    <t>NumCs</t>
  </si>
  <si>
    <t>CG_SAY_001</t>
  </si>
  <si>
    <t>CG_SAY_002</t>
  </si>
  <si>
    <t>CG_ROB_001</t>
  </si>
  <si>
    <t>CG_ROB_002</t>
  </si>
  <si>
    <t>CG_GOS_001</t>
  </si>
  <si>
    <t>CG_GOS_002</t>
  </si>
  <si>
    <t>CG_WK_001</t>
  </si>
  <si>
    <t>CG_WK_002</t>
  </si>
  <si>
    <t>CG_WK_003</t>
  </si>
  <si>
    <t>CG_WK_004</t>
  </si>
  <si>
    <t>CG_WT_001</t>
  </si>
  <si>
    <t>CG_WT_002</t>
  </si>
  <si>
    <t>CG_WT_003</t>
  </si>
  <si>
    <t>CG_WT_004</t>
  </si>
  <si>
    <t>WGBS_CG_WK_002</t>
  </si>
  <si>
    <t>WGBS_CG_WK_003</t>
  </si>
  <si>
    <t>WGBS_CG_WT_002</t>
  </si>
  <si>
    <t>WGBS_CG_WT_004</t>
  </si>
  <si>
    <t>CommonGarden</t>
  </si>
  <si>
    <t>PercentFailedQC</t>
  </si>
  <si>
    <t>Bismark</t>
  </si>
  <si>
    <t>Bwa meth</t>
  </si>
  <si>
    <t>Bwa mem</t>
  </si>
  <si>
    <t>bwameth</t>
  </si>
  <si>
    <t>FishID</t>
  </si>
  <si>
    <t>WGBS</t>
  </si>
  <si>
    <t>Read Mapping Tool</t>
  </si>
  <si>
    <t xml:space="preserve">Mean Mapping Efficiency </t>
  </si>
  <si>
    <t>SD</t>
  </si>
  <si>
    <t>CG_GOS_2210_01</t>
  </si>
  <si>
    <t>CG_GOS_35_04</t>
  </si>
  <si>
    <t>CG_ROB_003</t>
  </si>
  <si>
    <t>CG_ROB_31_01</t>
  </si>
  <si>
    <t>CG_SAY_4_01</t>
  </si>
  <si>
    <t>CG_SAY_2343_003</t>
  </si>
  <si>
    <t>FD_GOS_27</t>
  </si>
  <si>
    <t>FD_GOS_28</t>
  </si>
  <si>
    <t>FD_GOS_33</t>
  </si>
  <si>
    <t>FD_ROB_102</t>
  </si>
  <si>
    <t>FD_ROB_106</t>
  </si>
  <si>
    <t>FD_ROB_98</t>
  </si>
  <si>
    <t>Batch</t>
  </si>
  <si>
    <t>Total reads</t>
  </si>
  <si>
    <t>Mapped Reads</t>
  </si>
  <si>
    <t>Batch 1 bwa mem</t>
  </si>
  <si>
    <t>batch 2 bwa mem</t>
  </si>
  <si>
    <t>batch 1 bwa meth</t>
  </si>
  <si>
    <t>batch 2 bwa meth</t>
  </si>
  <si>
    <t>10,503,533 +/- 1,278,958</t>
  </si>
  <si>
    <t>31,651,666 +/- 15,422,548</t>
  </si>
  <si>
    <t>10,497,477 +/- 1,274,001</t>
  </si>
  <si>
    <t>31,585,315 +/- 15,394,002</t>
  </si>
  <si>
    <t>5,443,142 +/- 844,552</t>
  </si>
  <si>
    <t>10,428,486 +/- 1,268,689</t>
  </si>
  <si>
    <t>14,249,122 +/- 7,393,281</t>
  </si>
  <si>
    <t>31,286,223 +/- 15,260,964</t>
  </si>
  <si>
    <t>GOS_1</t>
  </si>
  <si>
    <t>GOS_2</t>
  </si>
  <si>
    <t>ROB_1</t>
  </si>
  <si>
    <t>ROB_2</t>
  </si>
  <si>
    <t>SAY_1</t>
  </si>
  <si>
    <t>SAY_2</t>
  </si>
  <si>
    <t>WK_1</t>
  </si>
  <si>
    <t>WK_2</t>
  </si>
  <si>
    <t>WK_3</t>
  </si>
  <si>
    <t>WK_4</t>
  </si>
  <si>
    <t>WT_1</t>
  </si>
  <si>
    <t>WT_2</t>
  </si>
  <si>
    <t>WT_3</t>
  </si>
  <si>
    <t>WT_4</t>
  </si>
  <si>
    <t>FD_WK_2</t>
  </si>
  <si>
    <t>FD_WK_5</t>
  </si>
  <si>
    <t>FD_WK_11</t>
  </si>
  <si>
    <t>FD_WK_12</t>
  </si>
  <si>
    <t>FD_WT_4</t>
  </si>
  <si>
    <t>FD_WT_7</t>
  </si>
  <si>
    <t>FD_WT_16</t>
  </si>
  <si>
    <t>FD_WT_17</t>
  </si>
  <si>
    <t>FD_GOS_027</t>
  </si>
  <si>
    <t>FD_GOS_028</t>
  </si>
  <si>
    <t>FD_GOS_033</t>
  </si>
  <si>
    <t>FD_ROB_098</t>
  </si>
  <si>
    <t>Note: bwa mem and bwa meth used --maxvariantfrac .8 --minDepth 5</t>
  </si>
  <si>
    <t>Note: bwa mem and bwa meth used Max Variant frac -.8 min depth 5</t>
  </si>
  <si>
    <t>Std Dev</t>
  </si>
  <si>
    <t>Std Error</t>
  </si>
  <si>
    <t>1.1 Gbp</t>
  </si>
  <si>
    <t>532.9 Mbp</t>
  </si>
  <si>
    <t>537.3 Mbp</t>
  </si>
  <si>
    <t>943.5 Mbp</t>
  </si>
  <si>
    <t>953.6 Mbp</t>
  </si>
  <si>
    <t>630.7 Mbp</t>
  </si>
  <si>
    <t>637.4 Mbp</t>
  </si>
  <si>
    <t>1.8 Gbp</t>
  </si>
  <si>
    <t>699.5 Mbp</t>
  </si>
  <si>
    <t>706.2 Mbp</t>
  </si>
  <si>
    <t>429.2 Mbp</t>
  </si>
  <si>
    <t>435.2 Mbp</t>
  </si>
  <si>
    <t>416.4 Mbp</t>
  </si>
  <si>
    <t>420.8 Mbp</t>
  </si>
  <si>
    <t>557.5 Mbp</t>
  </si>
  <si>
    <t>564.3 Mbp</t>
  </si>
  <si>
    <t>1.4 Gbp</t>
  </si>
  <si>
    <t>956.3 Mbp</t>
  </si>
  <si>
    <t>964.2 Mbp</t>
  </si>
  <si>
    <t>682.6 Mbp</t>
  </si>
  <si>
    <t>688.2 Mbp</t>
  </si>
  <si>
    <t>St Dev</t>
  </si>
  <si>
    <t>St Error</t>
  </si>
  <si>
    <t>4.4 Gbp</t>
  </si>
  <si>
    <t>4.3 Gbp</t>
  </si>
  <si>
    <t>4.5 Gbp</t>
  </si>
  <si>
    <t>Batch 1</t>
  </si>
  <si>
    <t>Batch 2</t>
  </si>
  <si>
    <t>BWA meth</t>
  </si>
  <si>
    <t>WGBS Median Insert Size</t>
  </si>
  <si>
    <t>Stdev</t>
  </si>
  <si>
    <t>ST err</t>
  </si>
  <si>
    <t>stdev</t>
  </si>
  <si>
    <t>sterr</t>
  </si>
  <si>
    <t>*Note: Total Reads for Bismark is total sequence pairs</t>
  </si>
  <si>
    <t>bwameth.median</t>
  </si>
  <si>
    <t>bwameth.mean</t>
  </si>
  <si>
    <t>bwamem.median</t>
  </si>
  <si>
    <t>bwamem.mean</t>
  </si>
  <si>
    <t>bismark.median</t>
  </si>
  <si>
    <t>bismark.mean</t>
  </si>
  <si>
    <t>Unmethylated</t>
  </si>
  <si>
    <t>IntermediateMethylated</t>
  </si>
  <si>
    <t>Methylated</t>
  </si>
  <si>
    <t>BisulfiteBolt</t>
  </si>
  <si>
    <t>Biscuit</t>
  </si>
  <si>
    <t>BismarkLocal</t>
  </si>
  <si>
    <t>Organism</t>
  </si>
  <si>
    <t>Stickleback</t>
  </si>
  <si>
    <t>Cichlid</t>
  </si>
  <si>
    <t>SRR14475384</t>
  </si>
  <si>
    <t>SRR14475385</t>
  </si>
  <si>
    <t>SRR14475386</t>
  </si>
  <si>
    <t>SRR14475387</t>
  </si>
  <si>
    <t>SRR14475388</t>
  </si>
  <si>
    <t>SRR14475389</t>
  </si>
  <si>
    <t>SRR14475390</t>
  </si>
  <si>
    <t>SRR14475391</t>
  </si>
  <si>
    <t>SRR14475392</t>
  </si>
  <si>
    <t>SRR14475393</t>
  </si>
  <si>
    <t>SRR14475394</t>
  </si>
  <si>
    <t>SRR14475395</t>
  </si>
  <si>
    <t>SRR14475396</t>
  </si>
  <si>
    <t>SRR14475397</t>
  </si>
  <si>
    <t>SRR14475398</t>
  </si>
  <si>
    <t>SRR14475399</t>
  </si>
  <si>
    <t>SRR14475400</t>
  </si>
  <si>
    <t>SRR14475401</t>
  </si>
  <si>
    <t>SRR14475402</t>
  </si>
  <si>
    <t>SRR14475403</t>
  </si>
  <si>
    <t>SRR14475404</t>
  </si>
  <si>
    <t>SRR14475405</t>
  </si>
  <si>
    <t>SRR14475406</t>
  </si>
  <si>
    <t>SRR14475407</t>
  </si>
  <si>
    <t>SRR14475408</t>
  </si>
  <si>
    <t>SRR14475409</t>
  </si>
  <si>
    <t>SRR14475410</t>
  </si>
  <si>
    <t>SRR14475411</t>
  </si>
  <si>
    <t>SRR14475412</t>
  </si>
  <si>
    <t>SRR14475413</t>
  </si>
  <si>
    <t>SRR14475414</t>
  </si>
  <si>
    <t>SRR14475415</t>
  </si>
  <si>
    <t xml:space="preserve"> SRR14475416</t>
  </si>
  <si>
    <t>SRR14475417</t>
  </si>
  <si>
    <t>SRR14475418</t>
  </si>
  <si>
    <t>Astatotilapia calliptera</t>
  </si>
  <si>
    <t>Coral</t>
  </si>
  <si>
    <t>Paired End</t>
  </si>
  <si>
    <t>SRR14475419</t>
  </si>
  <si>
    <t>SRR14475420</t>
  </si>
  <si>
    <t>SRR14475421</t>
  </si>
  <si>
    <t>SRR14475423</t>
  </si>
  <si>
    <t>SRR14475424</t>
  </si>
  <si>
    <t>SRR14475425</t>
  </si>
  <si>
    <t>SRR14475426</t>
  </si>
  <si>
    <t>SRR14475422</t>
  </si>
  <si>
    <t>Ecotype</t>
  </si>
  <si>
    <t>Tolerant</t>
  </si>
  <si>
    <t>Resistant</t>
  </si>
  <si>
    <t>Marine</t>
  </si>
  <si>
    <t>Limnetic</t>
  </si>
  <si>
    <t>Benthic</t>
  </si>
  <si>
    <t>Riverine</t>
  </si>
  <si>
    <t>Littoral</t>
  </si>
  <si>
    <t>Layout</t>
  </si>
  <si>
    <t>Paired</t>
  </si>
  <si>
    <t>Single</t>
  </si>
  <si>
    <t>SRR27908678</t>
  </si>
  <si>
    <t>SRR27908687</t>
  </si>
  <si>
    <t>SRR27908688</t>
  </si>
  <si>
    <t>SRR27908689</t>
  </si>
  <si>
    <t>SRR27908692</t>
  </si>
  <si>
    <t>SRR27908722</t>
  </si>
  <si>
    <t>SRR27908734</t>
  </si>
  <si>
    <t>SRR27908738</t>
  </si>
  <si>
    <t>SRR27908664</t>
  </si>
  <si>
    <t>SRR27908669</t>
  </si>
  <si>
    <t>SRR27908674</t>
  </si>
  <si>
    <t>SRR27908677</t>
  </si>
  <si>
    <t>SRR27908679</t>
  </si>
  <si>
    <t>SRR27908682</t>
  </si>
  <si>
    <t>SRR27908703</t>
  </si>
  <si>
    <t>SRR27908704</t>
  </si>
  <si>
    <t>SRR27908705</t>
  </si>
  <si>
    <t>SRR27908712</t>
  </si>
  <si>
    <t>SRR27908716</t>
  </si>
  <si>
    <t>SRR27908717</t>
  </si>
  <si>
    <t>SRR27908726</t>
  </si>
  <si>
    <t>SRR27908728</t>
  </si>
  <si>
    <t>SRR27908729</t>
  </si>
  <si>
    <t>SRR27908730</t>
  </si>
  <si>
    <t>SRR27908733</t>
  </si>
  <si>
    <t>SRR27908737</t>
  </si>
  <si>
    <t>SRR27908742</t>
  </si>
  <si>
    <t>SRR27908743</t>
  </si>
  <si>
    <t>SRR27908752</t>
  </si>
  <si>
    <t>SRR27908661</t>
  </si>
  <si>
    <t>SRR27908665</t>
  </si>
  <si>
    <t>SRR27908670</t>
  </si>
  <si>
    <t>SRR27908673</t>
  </si>
  <si>
    <t>SRR27908683</t>
  </si>
  <si>
    <t>SRR27908686</t>
  </si>
  <si>
    <t>SRR27908693</t>
  </si>
  <si>
    <t>SRR27908697</t>
  </si>
  <si>
    <t>SRR27908699</t>
  </si>
  <si>
    <t>SRR27908700</t>
  </si>
  <si>
    <t>SRR27908708</t>
  </si>
  <si>
    <t>SRR27908709</t>
  </si>
  <si>
    <t>SRR27908713</t>
  </si>
  <si>
    <t>SRR27908718</t>
  </si>
  <si>
    <t>SRR27908721</t>
  </si>
  <si>
    <t>SRR27908746</t>
  </si>
  <si>
    <t>SRR27908747</t>
  </si>
  <si>
    <t>SRR27908751</t>
  </si>
  <si>
    <t>SRR27908754</t>
  </si>
  <si>
    <t>SRR11078098</t>
  </si>
  <si>
    <t>SRR11078099</t>
  </si>
  <si>
    <t>SRR11078100</t>
  </si>
  <si>
    <t>SRR11078101</t>
  </si>
  <si>
    <t>SRR12649943</t>
  </si>
  <si>
    <t>SRR12649944</t>
  </si>
  <si>
    <t>SRR12649945</t>
  </si>
  <si>
    <t>SRR12649946</t>
  </si>
  <si>
    <t>SRR12649947</t>
  </si>
  <si>
    <t>SRR12649948</t>
  </si>
  <si>
    <t>SRR12649949</t>
  </si>
  <si>
    <t>SRR12649950</t>
  </si>
  <si>
    <t>SRR12649951</t>
  </si>
  <si>
    <t>SRR12649952</t>
  </si>
  <si>
    <t>SRR12649953</t>
  </si>
  <si>
    <t>SRR12649954</t>
  </si>
  <si>
    <t>SRR12649955</t>
  </si>
  <si>
    <t>SRR12649956</t>
  </si>
  <si>
    <t>SRR14651347</t>
  </si>
  <si>
    <t>SRR14651348</t>
  </si>
  <si>
    <t>SRR14651349</t>
  </si>
  <si>
    <t>SRR14651350</t>
  </si>
  <si>
    <t>SRR21784880</t>
  </si>
  <si>
    <t>SRR21784881</t>
  </si>
  <si>
    <t>SRR21784882</t>
  </si>
  <si>
    <t>SRR21784883</t>
  </si>
  <si>
    <t>SRR21784884</t>
  </si>
  <si>
    <t>SRR21784885</t>
  </si>
  <si>
    <t>SRR21784886</t>
  </si>
  <si>
    <t>SRR21784887</t>
  </si>
  <si>
    <t>SRR21784888</t>
  </si>
  <si>
    <t>SRR21784889</t>
  </si>
  <si>
    <t>SRR21784890</t>
  </si>
  <si>
    <t>SRR21784891</t>
  </si>
  <si>
    <t>SRR21784892</t>
  </si>
  <si>
    <t>SRR21784893</t>
  </si>
  <si>
    <t>SRR21784894</t>
  </si>
  <si>
    <t>SRR21784895</t>
  </si>
  <si>
    <t>SRR21784896</t>
  </si>
  <si>
    <t>SRR21784897</t>
  </si>
  <si>
    <t>SRR21784898</t>
  </si>
  <si>
    <t>SRR21784899</t>
  </si>
  <si>
    <t>SRR21784900</t>
  </si>
  <si>
    <t>SRR21784901</t>
  </si>
  <si>
    <t>SRR21784902</t>
  </si>
  <si>
    <t>SRR21784903</t>
  </si>
  <si>
    <t>SRR21784904</t>
  </si>
  <si>
    <t>SRR21784905</t>
  </si>
  <si>
    <t>SRR21784906</t>
  </si>
  <si>
    <t>SRR21784907</t>
  </si>
  <si>
    <t>SRR21784908</t>
  </si>
  <si>
    <t>SRR21784909</t>
  </si>
  <si>
    <t>SRR21784910</t>
  </si>
  <si>
    <t>SRR21784911</t>
  </si>
  <si>
    <t>SRR21784912</t>
  </si>
  <si>
    <t>SRR21784913</t>
  </si>
  <si>
    <t>SRR21784914</t>
  </si>
  <si>
    <t>SRR21784915</t>
  </si>
  <si>
    <t>SRR21784916</t>
  </si>
  <si>
    <t>SRR21784917</t>
  </si>
  <si>
    <t>SRR21784918</t>
  </si>
  <si>
    <t>SRR21784919</t>
  </si>
  <si>
    <t>SRR21784920</t>
  </si>
  <si>
    <t>SRR21784921</t>
  </si>
  <si>
    <t>SRR21784922</t>
  </si>
  <si>
    <t>SRR21784923</t>
  </si>
  <si>
    <t>SRR21784924</t>
  </si>
  <si>
    <t>SRR21784925</t>
  </si>
  <si>
    <t>SRR21784926</t>
  </si>
  <si>
    <t>SRR21784927</t>
  </si>
  <si>
    <t>SRR3228824</t>
  </si>
  <si>
    <t>SRR3229070</t>
  </si>
  <si>
    <t>SRR6067626</t>
  </si>
  <si>
    <t>SRR6067627</t>
  </si>
  <si>
    <t>SRR6067628</t>
  </si>
  <si>
    <t>SRR6067629</t>
  </si>
  <si>
    <t>SRR10054280</t>
  </si>
  <si>
    <t>SRR10054281</t>
  </si>
  <si>
    <t>SRR10054282</t>
  </si>
  <si>
    <t>SRR10054283</t>
  </si>
  <si>
    <t>SRR10054284</t>
  </si>
  <si>
    <t>SRR10054285</t>
  </si>
  <si>
    <t>SRR10054286</t>
  </si>
  <si>
    <t>SRR10054287</t>
  </si>
  <si>
    <t>SRR10054288</t>
  </si>
  <si>
    <t>SRR10054289</t>
  </si>
  <si>
    <t>SRR10054290</t>
  </si>
  <si>
    <t>SRR10054291</t>
  </si>
  <si>
    <t>SRR10054292</t>
  </si>
  <si>
    <t>SRR10054293</t>
  </si>
  <si>
    <t>SRR10054294</t>
  </si>
  <si>
    <t>SRR10054295</t>
  </si>
  <si>
    <t>SRR10054296</t>
  </si>
  <si>
    <t>SRR10054297</t>
  </si>
  <si>
    <t>SRR10054298</t>
  </si>
  <si>
    <t>SRR10054299</t>
  </si>
  <si>
    <t>SRR10054300</t>
  </si>
  <si>
    <t>SRR10054301</t>
  </si>
  <si>
    <t>SRR10054302</t>
  </si>
  <si>
    <t>SRR10054303</t>
  </si>
  <si>
    <t>SRR10054304</t>
  </si>
  <si>
    <t>SRR10054305</t>
  </si>
  <si>
    <t>SRR10054306</t>
  </si>
  <si>
    <t>SRR10054307</t>
  </si>
  <si>
    <t>SRR10054308</t>
  </si>
  <si>
    <t>SRR10054309</t>
  </si>
  <si>
    <t>SRR10054310</t>
  </si>
  <si>
    <t>SRR10054311</t>
  </si>
  <si>
    <t>SRR10054312</t>
  </si>
  <si>
    <t>SRR10054313</t>
  </si>
  <si>
    <t>SRR10054314</t>
  </si>
  <si>
    <t>SRR10054315</t>
  </si>
  <si>
    <t>Parus major</t>
  </si>
  <si>
    <t>StickInsect</t>
  </si>
  <si>
    <t>SRR25777308</t>
  </si>
  <si>
    <t>SRR25777309</t>
  </si>
  <si>
    <t>SRR25777310</t>
  </si>
  <si>
    <t>SRR25777311</t>
  </si>
  <si>
    <t>SRR25777312</t>
  </si>
  <si>
    <t>SRR25777313</t>
  </si>
  <si>
    <t>SRR25777314</t>
  </si>
  <si>
    <t>SRR25777315</t>
  </si>
  <si>
    <t>SRR25777316</t>
  </si>
  <si>
    <t>SRR25777317</t>
  </si>
  <si>
    <t>SRR25777318</t>
  </si>
  <si>
    <t>SRR25777319</t>
  </si>
  <si>
    <t>SRR25777320</t>
  </si>
  <si>
    <t>SRR25777321</t>
  </si>
  <si>
    <t>SRR25777322</t>
  </si>
  <si>
    <t>SRR25777323</t>
  </si>
  <si>
    <t>SRR25777324</t>
  </si>
  <si>
    <t>SRR25777325</t>
  </si>
  <si>
    <t>SRR25777326</t>
  </si>
  <si>
    <t>SRR25777327</t>
  </si>
  <si>
    <t>SRR25777328</t>
  </si>
  <si>
    <t>SRR25777329</t>
  </si>
  <si>
    <t>SRR25777330</t>
  </si>
  <si>
    <t>SRR25777331</t>
  </si>
  <si>
    <t>Strongylocentrotus purpuratus</t>
  </si>
  <si>
    <t>SRR9595496</t>
  </si>
  <si>
    <t>SRR9595497</t>
  </si>
  <si>
    <t>SRR9595498</t>
  </si>
  <si>
    <t>SRR9595499</t>
  </si>
  <si>
    <t>SRR9595502</t>
  </si>
  <si>
    <t>SRR9595503</t>
  </si>
  <si>
    <t>SRR9595504</t>
  </si>
  <si>
    <t>SRR9595505</t>
  </si>
  <si>
    <t>SRR9595506</t>
  </si>
  <si>
    <t>SRR9595507</t>
  </si>
  <si>
    <t>SRR9595508</t>
  </si>
  <si>
    <t>SRR9595509</t>
  </si>
  <si>
    <t>Sea Urchin</t>
  </si>
  <si>
    <t>Great Tit</t>
  </si>
  <si>
    <t xml:space="preserve">cat </t>
  </si>
  <si>
    <t>biscuit.mean</t>
  </si>
  <si>
    <t>biscuit.median</t>
  </si>
  <si>
    <t>bsbolt.mean</t>
  </si>
  <si>
    <t>bsbolt.median</t>
  </si>
  <si>
    <t>bismarkL.mean</t>
  </si>
  <si>
    <t>bismarkL.median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</si>
</sst>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Lucida Console"/>
      <family val="3"/>
    </font>
    <font>
      <sz val="12"/>
      <color rgb="FF000000"/>
      <name val="Times New Roman"/>
      <family val="1"/>
    </font>
    <font>
      <sz val="8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10" fontId="0" fillId="0" borderId="0" xfId="0" applyNumberFormat="1"/>
    <xf numFmtId="0" fontId="4" fillId="0" borderId="0" xfId="0" applyFont="1" applyAlignment="1">
      <alignment vertical="center"/>
    </xf>
    <xf numFmtId="0" fontId="0" fillId="2" borderId="0" xfId="0" applyFill="1"/>
    <xf numFmtId="10" fontId="0" fillId="2" borderId="0" xfId="0" applyNumberFormat="1" applyFill="1"/>
    <xf numFmtId="0" fontId="4" fillId="0" borderId="0" xfId="0" applyFont="1" applyAlignment="1">
      <alignment horizontal="left" vertical="center"/>
    </xf>
    <xf numFmtId="4" fontId="0" fillId="0" borderId="0" xfId="0" applyNumberFormat="1"/>
    <xf numFmtId="4" fontId="5" fillId="0" borderId="0" xfId="0" applyNumberFormat="1" applyFont="1"/>
    <xf numFmtId="0" fontId="6" fillId="0" borderId="0" xfId="0" applyFont="1" applyAlignment="1">
      <alignment vertical="center"/>
    </xf>
    <xf numFmtId="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BA08-261A-417F-AEFA-802CAC660C7E}">
  <dimension ref="A1:P77"/>
  <sheetViews>
    <sheetView topLeftCell="B1" zoomScale="90" zoomScaleNormal="90" workbookViewId="0">
      <selection activeCell="G15" sqref="G15"/>
    </sheetView>
  </sheetViews>
  <sheetFormatPr defaultRowHeight="14.4" x14ac:dyDescent="0.3"/>
  <cols>
    <col min="1" max="1" width="15.5546875" bestFit="1" customWidth="1"/>
    <col min="2" max="2" width="10.44140625" bestFit="1" customWidth="1"/>
    <col min="3" max="3" width="20.33203125" bestFit="1" customWidth="1"/>
    <col min="5" max="5" width="14.6640625" bestFit="1" customWidth="1"/>
    <col min="6" max="6" width="10.109375" bestFit="1" customWidth="1"/>
    <col min="7" max="7" width="14.5546875" bestFit="1" customWidth="1"/>
    <col min="8" max="8" width="13.88671875" bestFit="1" customWidth="1"/>
    <col min="9" max="9" width="18.88671875" bestFit="1" customWidth="1"/>
    <col min="10" max="10" width="19.109375" bestFit="1" customWidth="1"/>
    <col min="12" max="12" width="16.5546875" bestFit="1" customWidth="1"/>
    <col min="13" max="13" width="11" bestFit="1" customWidth="1"/>
    <col min="15" max="15" width="20.33203125" bestFit="1" customWidth="1"/>
    <col min="16" max="16" width="11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163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6" x14ac:dyDescent="0.3">
      <c r="A2" t="s">
        <v>9</v>
      </c>
      <c r="B2" t="s">
        <v>10</v>
      </c>
      <c r="C2" t="s">
        <v>11</v>
      </c>
      <c r="D2">
        <v>1</v>
      </c>
      <c r="E2" s="1">
        <v>5521082</v>
      </c>
      <c r="F2">
        <v>341</v>
      </c>
      <c r="G2">
        <v>0</v>
      </c>
      <c r="H2">
        <v>36</v>
      </c>
      <c r="I2">
        <v>20</v>
      </c>
      <c r="J2">
        <v>151</v>
      </c>
    </row>
    <row r="3" spans="1:16" x14ac:dyDescent="0.3">
      <c r="A3" t="s">
        <v>9</v>
      </c>
      <c r="B3" t="s">
        <v>10</v>
      </c>
      <c r="C3" t="s">
        <v>12</v>
      </c>
      <c r="D3">
        <v>1</v>
      </c>
      <c r="E3">
        <v>5521082</v>
      </c>
      <c r="F3">
        <v>337.4</v>
      </c>
      <c r="G3">
        <v>0</v>
      </c>
      <c r="H3">
        <v>36</v>
      </c>
      <c r="I3">
        <v>20</v>
      </c>
      <c r="J3">
        <v>149</v>
      </c>
      <c r="L3" s="2" t="s">
        <v>60</v>
      </c>
      <c r="M3">
        <f>AVERAGE(F2:F45)</f>
        <v>350.88181818181818</v>
      </c>
    </row>
    <row r="4" spans="1:16" x14ac:dyDescent="0.3">
      <c r="A4" t="s">
        <v>9</v>
      </c>
      <c r="B4" t="s">
        <v>10</v>
      </c>
      <c r="C4" t="s">
        <v>13</v>
      </c>
      <c r="D4">
        <v>1</v>
      </c>
      <c r="E4">
        <v>4961453</v>
      </c>
      <c r="F4">
        <v>317.7</v>
      </c>
      <c r="G4">
        <v>0</v>
      </c>
      <c r="H4">
        <v>34</v>
      </c>
      <c r="I4">
        <v>20</v>
      </c>
      <c r="J4">
        <v>151</v>
      </c>
      <c r="L4" s="2" t="s">
        <v>61</v>
      </c>
      <c r="M4">
        <f>AVERAGE(E2:E45)</f>
        <v>5237195.3636363633</v>
      </c>
    </row>
    <row r="5" spans="1:16" x14ac:dyDescent="0.3">
      <c r="A5" t="s">
        <v>9</v>
      </c>
      <c r="B5" t="s">
        <v>10</v>
      </c>
      <c r="C5" t="s">
        <v>14</v>
      </c>
      <c r="D5">
        <v>1</v>
      </c>
      <c r="E5">
        <v>4961453</v>
      </c>
      <c r="F5">
        <v>315.2</v>
      </c>
      <c r="G5">
        <v>0</v>
      </c>
      <c r="H5">
        <v>34</v>
      </c>
      <c r="I5">
        <v>20</v>
      </c>
      <c r="J5">
        <v>149</v>
      </c>
      <c r="L5" s="2"/>
    </row>
    <row r="6" spans="1:16" x14ac:dyDescent="0.3">
      <c r="A6" t="s">
        <v>9</v>
      </c>
      <c r="B6" t="s">
        <v>15</v>
      </c>
      <c r="C6" t="s">
        <v>16</v>
      </c>
      <c r="D6">
        <v>1</v>
      </c>
      <c r="E6">
        <v>5305729</v>
      </c>
      <c r="F6">
        <v>316.89999999999998</v>
      </c>
      <c r="G6">
        <v>0</v>
      </c>
      <c r="H6">
        <v>36</v>
      </c>
      <c r="I6">
        <v>20</v>
      </c>
      <c r="J6">
        <v>151</v>
      </c>
      <c r="L6" s="2" t="s">
        <v>62</v>
      </c>
      <c r="M6">
        <f>_xlfn.STDEV.S(E2:E45)</f>
        <v>628431.73281746311</v>
      </c>
    </row>
    <row r="7" spans="1:16" x14ac:dyDescent="0.3">
      <c r="A7" t="s">
        <v>9</v>
      </c>
      <c r="B7" t="s">
        <v>15</v>
      </c>
      <c r="C7" t="s">
        <v>17</v>
      </c>
      <c r="D7">
        <v>1</v>
      </c>
      <c r="E7">
        <v>5305729</v>
      </c>
      <c r="F7">
        <v>314.3</v>
      </c>
      <c r="G7">
        <v>0</v>
      </c>
      <c r="H7">
        <v>36</v>
      </c>
      <c r="I7">
        <v>20</v>
      </c>
      <c r="J7">
        <v>149</v>
      </c>
    </row>
    <row r="8" spans="1:16" x14ac:dyDescent="0.3">
      <c r="A8" t="s">
        <v>9</v>
      </c>
      <c r="B8" t="s">
        <v>15</v>
      </c>
      <c r="C8" t="s">
        <v>18</v>
      </c>
      <c r="D8">
        <v>1</v>
      </c>
      <c r="E8">
        <v>4892405</v>
      </c>
      <c r="F8">
        <v>294.10000000000002</v>
      </c>
      <c r="G8">
        <v>0</v>
      </c>
      <c r="H8">
        <v>37</v>
      </c>
      <c r="I8">
        <v>20</v>
      </c>
      <c r="J8">
        <v>151</v>
      </c>
    </row>
    <row r="9" spans="1:16" x14ac:dyDescent="0.3">
      <c r="A9" t="s">
        <v>9</v>
      </c>
      <c r="B9" t="s">
        <v>15</v>
      </c>
      <c r="C9" t="s">
        <v>19</v>
      </c>
      <c r="D9">
        <v>1</v>
      </c>
      <c r="E9">
        <v>4892405</v>
      </c>
      <c r="F9">
        <v>291.3</v>
      </c>
      <c r="G9">
        <v>0</v>
      </c>
      <c r="H9">
        <v>36</v>
      </c>
      <c r="I9">
        <v>20</v>
      </c>
      <c r="J9">
        <v>149</v>
      </c>
      <c r="L9" t="s">
        <v>63</v>
      </c>
    </row>
    <row r="10" spans="1:16" x14ac:dyDescent="0.3">
      <c r="A10" t="s">
        <v>9</v>
      </c>
      <c r="B10" t="s">
        <v>20</v>
      </c>
      <c r="C10" t="s">
        <v>21</v>
      </c>
      <c r="D10">
        <v>1</v>
      </c>
      <c r="E10">
        <v>5044025</v>
      </c>
      <c r="F10">
        <v>292.89999999999998</v>
      </c>
      <c r="G10">
        <v>0</v>
      </c>
      <c r="H10">
        <v>35</v>
      </c>
      <c r="I10">
        <v>20</v>
      </c>
      <c r="J10">
        <v>151</v>
      </c>
    </row>
    <row r="11" spans="1:16" x14ac:dyDescent="0.3">
      <c r="A11" t="s">
        <v>9</v>
      </c>
      <c r="B11" t="s">
        <v>20</v>
      </c>
      <c r="C11" t="s">
        <v>22</v>
      </c>
      <c r="D11">
        <v>1</v>
      </c>
      <c r="E11">
        <v>5044025</v>
      </c>
      <c r="F11">
        <v>290.7</v>
      </c>
      <c r="G11">
        <v>0</v>
      </c>
      <c r="H11">
        <v>34</v>
      </c>
      <c r="I11">
        <v>20</v>
      </c>
      <c r="J11">
        <v>149</v>
      </c>
      <c r="L11" t="s">
        <v>64</v>
      </c>
    </row>
    <row r="12" spans="1:16" x14ac:dyDescent="0.3">
      <c r="A12" t="s">
        <v>9</v>
      </c>
      <c r="B12" t="s">
        <v>20</v>
      </c>
      <c r="C12" t="s">
        <v>23</v>
      </c>
      <c r="D12">
        <v>1</v>
      </c>
      <c r="E12">
        <v>5092009</v>
      </c>
      <c r="F12">
        <v>331.7</v>
      </c>
      <c r="G12">
        <v>0</v>
      </c>
      <c r="H12">
        <v>34</v>
      </c>
      <c r="I12">
        <v>20</v>
      </c>
      <c r="J12">
        <v>151</v>
      </c>
    </row>
    <row r="13" spans="1:16" x14ac:dyDescent="0.3">
      <c r="A13" t="s">
        <v>9</v>
      </c>
      <c r="B13" t="s">
        <v>20</v>
      </c>
      <c r="C13" t="s">
        <v>24</v>
      </c>
      <c r="D13">
        <v>1</v>
      </c>
      <c r="E13">
        <v>5092009</v>
      </c>
      <c r="F13">
        <v>328.1</v>
      </c>
      <c r="G13">
        <v>0</v>
      </c>
      <c r="H13">
        <v>33</v>
      </c>
      <c r="I13">
        <v>20</v>
      </c>
      <c r="J13">
        <v>149</v>
      </c>
      <c r="L13" s="2" t="s">
        <v>234</v>
      </c>
      <c r="O13" s="2" t="s">
        <v>235</v>
      </c>
    </row>
    <row r="14" spans="1:16" x14ac:dyDescent="0.3">
      <c r="A14" t="s">
        <v>9</v>
      </c>
      <c r="B14" t="s">
        <v>25</v>
      </c>
      <c r="C14" t="s">
        <v>26</v>
      </c>
      <c r="D14">
        <v>1</v>
      </c>
      <c r="E14">
        <v>4771488</v>
      </c>
      <c r="F14">
        <v>341.9</v>
      </c>
      <c r="G14">
        <v>0</v>
      </c>
      <c r="H14">
        <v>32</v>
      </c>
      <c r="I14">
        <v>20</v>
      </c>
      <c r="J14">
        <v>151</v>
      </c>
      <c r="L14" t="s">
        <v>178</v>
      </c>
      <c r="M14">
        <f>SUM(E2:E3)</f>
        <v>11042164</v>
      </c>
      <c r="O14" t="s">
        <v>152</v>
      </c>
      <c r="P14">
        <f>SUM(E46:E47)</f>
        <v>39534270</v>
      </c>
    </row>
    <row r="15" spans="1:16" x14ac:dyDescent="0.3">
      <c r="A15" t="s">
        <v>9</v>
      </c>
      <c r="B15" t="s">
        <v>25</v>
      </c>
      <c r="C15" t="s">
        <v>27</v>
      </c>
      <c r="D15">
        <v>1</v>
      </c>
      <c r="E15">
        <v>4771488</v>
      </c>
      <c r="F15">
        <v>339.1</v>
      </c>
      <c r="G15">
        <v>0</v>
      </c>
      <c r="H15">
        <v>32</v>
      </c>
      <c r="I15">
        <v>20</v>
      </c>
      <c r="J15">
        <v>149</v>
      </c>
      <c r="L15" t="s">
        <v>179</v>
      </c>
      <c r="M15">
        <f>SUM(E4:E5)</f>
        <v>9922906</v>
      </c>
      <c r="O15" t="s">
        <v>151</v>
      </c>
      <c r="P15">
        <f>SUM(E48:E49)</f>
        <v>19629982</v>
      </c>
    </row>
    <row r="16" spans="1:16" x14ac:dyDescent="0.3">
      <c r="A16" t="s">
        <v>9</v>
      </c>
      <c r="B16" t="s">
        <v>25</v>
      </c>
      <c r="C16" t="s">
        <v>28</v>
      </c>
      <c r="D16">
        <v>1</v>
      </c>
      <c r="E16">
        <v>5649521</v>
      </c>
      <c r="F16">
        <v>409.7</v>
      </c>
      <c r="G16">
        <v>0</v>
      </c>
      <c r="H16">
        <v>32</v>
      </c>
      <c r="I16">
        <v>20</v>
      </c>
      <c r="J16">
        <v>151</v>
      </c>
      <c r="L16" t="s">
        <v>180</v>
      </c>
      <c r="M16">
        <f>SUM(E6:E7)</f>
        <v>10611458</v>
      </c>
      <c r="O16" t="s">
        <v>153</v>
      </c>
      <c r="P16">
        <f>SUM(E50:E51)</f>
        <v>37510744</v>
      </c>
    </row>
    <row r="17" spans="1:16" x14ac:dyDescent="0.3">
      <c r="A17" t="s">
        <v>9</v>
      </c>
      <c r="B17" t="s">
        <v>25</v>
      </c>
      <c r="C17" t="s">
        <v>29</v>
      </c>
      <c r="D17">
        <v>1</v>
      </c>
      <c r="E17">
        <v>5649521</v>
      </c>
      <c r="F17">
        <v>405.5</v>
      </c>
      <c r="G17">
        <v>0</v>
      </c>
      <c r="H17">
        <v>32</v>
      </c>
      <c r="I17">
        <v>20</v>
      </c>
      <c r="J17">
        <v>149</v>
      </c>
      <c r="L17" t="s">
        <v>181</v>
      </c>
      <c r="M17">
        <f>SUM(E8:E9)</f>
        <v>9784810</v>
      </c>
      <c r="O17" t="s">
        <v>154</v>
      </c>
      <c r="P17">
        <f>SUM(E52:E53)</f>
        <v>24628026</v>
      </c>
    </row>
    <row r="18" spans="1:16" x14ac:dyDescent="0.3">
      <c r="A18" t="s">
        <v>9</v>
      </c>
      <c r="B18" t="s">
        <v>25</v>
      </c>
      <c r="C18" t="s">
        <v>30</v>
      </c>
      <c r="D18">
        <v>1</v>
      </c>
      <c r="E18">
        <v>4818481</v>
      </c>
      <c r="F18">
        <v>322</v>
      </c>
      <c r="G18">
        <v>0</v>
      </c>
      <c r="H18">
        <v>33</v>
      </c>
      <c r="I18">
        <v>20</v>
      </c>
      <c r="J18">
        <v>151</v>
      </c>
      <c r="L18" t="s">
        <v>182</v>
      </c>
      <c r="M18">
        <f>SUM(E10:E11)</f>
        <v>10088050</v>
      </c>
      <c r="O18" t="s">
        <v>155</v>
      </c>
      <c r="P18">
        <f>SUM(E54:E55)</f>
        <v>68931846</v>
      </c>
    </row>
    <row r="19" spans="1:16" x14ac:dyDescent="0.3">
      <c r="A19" t="s">
        <v>9</v>
      </c>
      <c r="B19" t="s">
        <v>25</v>
      </c>
      <c r="C19" t="s">
        <v>31</v>
      </c>
      <c r="D19">
        <v>1</v>
      </c>
      <c r="E19">
        <v>4818481</v>
      </c>
      <c r="F19">
        <v>320.60000000000002</v>
      </c>
      <c r="G19">
        <v>0</v>
      </c>
      <c r="H19">
        <v>32</v>
      </c>
      <c r="I19">
        <v>20</v>
      </c>
      <c r="J19">
        <v>149</v>
      </c>
      <c r="L19" t="s">
        <v>183</v>
      </c>
      <c r="M19">
        <f>SUM(E12:E13)</f>
        <v>10184018</v>
      </c>
      <c r="O19" t="s">
        <v>156</v>
      </c>
      <c r="P19">
        <f>SUM(E56:E57)</f>
        <v>26126712</v>
      </c>
    </row>
    <row r="20" spans="1:16" x14ac:dyDescent="0.3">
      <c r="A20" t="s">
        <v>9</v>
      </c>
      <c r="B20" t="s">
        <v>25</v>
      </c>
      <c r="C20" t="s">
        <v>32</v>
      </c>
      <c r="D20">
        <v>1</v>
      </c>
      <c r="E20">
        <v>5033519</v>
      </c>
      <c r="F20">
        <v>339.6</v>
      </c>
      <c r="G20">
        <v>0</v>
      </c>
      <c r="H20">
        <v>33</v>
      </c>
      <c r="I20">
        <v>20</v>
      </c>
      <c r="J20">
        <v>151</v>
      </c>
      <c r="L20" t="s">
        <v>184</v>
      </c>
      <c r="M20">
        <f>SUM(E14:E15)</f>
        <v>9542976</v>
      </c>
      <c r="O20" t="s">
        <v>157</v>
      </c>
      <c r="P20">
        <f>SUM(E58:E59)</f>
        <v>17664440</v>
      </c>
    </row>
    <row r="21" spans="1:16" x14ac:dyDescent="0.3">
      <c r="A21" t="s">
        <v>9</v>
      </c>
      <c r="B21" t="s">
        <v>25</v>
      </c>
      <c r="C21" t="s">
        <v>33</v>
      </c>
      <c r="D21">
        <v>1</v>
      </c>
      <c r="E21">
        <v>5033519</v>
      </c>
      <c r="F21">
        <v>336.7</v>
      </c>
      <c r="G21">
        <v>0</v>
      </c>
      <c r="H21">
        <v>33</v>
      </c>
      <c r="I21">
        <v>20</v>
      </c>
      <c r="J21">
        <v>149</v>
      </c>
      <c r="L21" t="s">
        <v>185</v>
      </c>
      <c r="M21">
        <f>SUM(E16:E17)</f>
        <v>11299042</v>
      </c>
      <c r="O21" t="s">
        <v>158</v>
      </c>
      <c r="P21">
        <f>SUM(E60:E61)</f>
        <v>15996662</v>
      </c>
    </row>
    <row r="22" spans="1:16" x14ac:dyDescent="0.3">
      <c r="A22" t="s">
        <v>9</v>
      </c>
      <c r="B22" t="s">
        <v>34</v>
      </c>
      <c r="C22" t="s">
        <v>35</v>
      </c>
      <c r="D22">
        <v>1</v>
      </c>
      <c r="E22">
        <v>6246043</v>
      </c>
      <c r="F22">
        <v>428.8</v>
      </c>
      <c r="G22">
        <v>0</v>
      </c>
      <c r="H22">
        <v>33</v>
      </c>
      <c r="I22">
        <v>20</v>
      </c>
      <c r="J22">
        <v>151</v>
      </c>
      <c r="L22" t="s">
        <v>186</v>
      </c>
      <c r="M22">
        <f>SUM(E18:E19)</f>
        <v>9636962</v>
      </c>
      <c r="O22" t="s">
        <v>159</v>
      </c>
      <c r="P22">
        <f>SUM(E62:E63)</f>
        <v>20731212</v>
      </c>
    </row>
    <row r="23" spans="1:16" x14ac:dyDescent="0.3">
      <c r="A23" t="s">
        <v>9</v>
      </c>
      <c r="B23" t="s">
        <v>34</v>
      </c>
      <c r="C23" t="s">
        <v>36</v>
      </c>
      <c r="D23">
        <v>1</v>
      </c>
      <c r="E23">
        <v>6246043</v>
      </c>
      <c r="F23">
        <v>426.8</v>
      </c>
      <c r="G23">
        <v>0</v>
      </c>
      <c r="H23">
        <v>33</v>
      </c>
      <c r="I23">
        <v>20</v>
      </c>
      <c r="J23">
        <v>149</v>
      </c>
      <c r="L23" t="s">
        <v>187</v>
      </c>
      <c r="M23">
        <f>SUM(E20:E21)</f>
        <v>10067038</v>
      </c>
      <c r="O23" t="s">
        <v>162</v>
      </c>
      <c r="P23">
        <f>SUM(E64:E65)</f>
        <v>48412544</v>
      </c>
    </row>
    <row r="24" spans="1:16" x14ac:dyDescent="0.3">
      <c r="A24" t="s">
        <v>9</v>
      </c>
      <c r="B24" t="s">
        <v>34</v>
      </c>
      <c r="C24" t="s">
        <v>37</v>
      </c>
      <c r="D24">
        <v>1</v>
      </c>
      <c r="E24">
        <v>4913891</v>
      </c>
      <c r="F24">
        <v>332.2</v>
      </c>
      <c r="G24">
        <v>0</v>
      </c>
      <c r="H24">
        <v>33</v>
      </c>
      <c r="I24">
        <v>20</v>
      </c>
      <c r="J24">
        <v>151</v>
      </c>
      <c r="L24" t="s">
        <v>188</v>
      </c>
      <c r="M24">
        <f>SUM(E22:E23)</f>
        <v>12492086</v>
      </c>
      <c r="O24" t="s">
        <v>160</v>
      </c>
      <c r="P24">
        <f>SUM(E66:E67)</f>
        <v>34044038</v>
      </c>
    </row>
    <row r="25" spans="1:16" x14ac:dyDescent="0.3">
      <c r="A25" t="s">
        <v>9</v>
      </c>
      <c r="B25" t="s">
        <v>34</v>
      </c>
      <c r="C25" t="s">
        <v>38</v>
      </c>
      <c r="D25">
        <v>1</v>
      </c>
      <c r="E25">
        <v>4913891</v>
      </c>
      <c r="F25">
        <v>328.8</v>
      </c>
      <c r="G25">
        <v>0</v>
      </c>
      <c r="H25">
        <v>33</v>
      </c>
      <c r="I25">
        <v>20</v>
      </c>
      <c r="J25">
        <v>149</v>
      </c>
      <c r="L25" t="s">
        <v>189</v>
      </c>
      <c r="M25">
        <f>SUM(E24:E25)</f>
        <v>9827782</v>
      </c>
      <c r="O25" t="s">
        <v>161</v>
      </c>
      <c r="P25">
        <f>SUM(E68:E69)</f>
        <v>25210244</v>
      </c>
    </row>
    <row r="26" spans="1:16" x14ac:dyDescent="0.3">
      <c r="A26" t="s">
        <v>9</v>
      </c>
      <c r="B26" t="s">
        <v>34</v>
      </c>
      <c r="C26" t="s">
        <v>39</v>
      </c>
      <c r="D26">
        <v>1</v>
      </c>
      <c r="E26">
        <v>6147115</v>
      </c>
      <c r="F26">
        <v>423.3</v>
      </c>
      <c r="G26">
        <v>0</v>
      </c>
      <c r="H26">
        <v>32</v>
      </c>
      <c r="I26">
        <v>20</v>
      </c>
      <c r="J26">
        <v>151</v>
      </c>
      <c r="L26" t="s">
        <v>190</v>
      </c>
      <c r="M26">
        <f>SUM(E26:E27)</f>
        <v>12294230</v>
      </c>
      <c r="O26" s="2" t="s">
        <v>117</v>
      </c>
      <c r="P26">
        <f>AVERAGE(P14:P25)</f>
        <v>31535060</v>
      </c>
    </row>
    <row r="27" spans="1:16" x14ac:dyDescent="0.3">
      <c r="A27" t="s">
        <v>9</v>
      </c>
      <c r="B27" t="s">
        <v>34</v>
      </c>
      <c r="C27" t="s">
        <v>40</v>
      </c>
      <c r="D27">
        <v>1</v>
      </c>
      <c r="E27">
        <v>6147115</v>
      </c>
      <c r="F27">
        <v>418.9</v>
      </c>
      <c r="G27">
        <v>0</v>
      </c>
      <c r="H27">
        <v>32</v>
      </c>
      <c r="I27">
        <v>20</v>
      </c>
      <c r="J27">
        <v>149</v>
      </c>
      <c r="L27" t="s">
        <v>191</v>
      </c>
      <c r="M27">
        <f>SUM(E28:E29)</f>
        <v>9350400</v>
      </c>
      <c r="O27" s="2" t="s">
        <v>229</v>
      </c>
      <c r="P27">
        <f>_xlfn.STDEV.S(P14:P25)</f>
        <v>15370014.400480034</v>
      </c>
    </row>
    <row r="28" spans="1:16" x14ac:dyDescent="0.3">
      <c r="A28" t="s">
        <v>9</v>
      </c>
      <c r="B28" t="s">
        <v>34</v>
      </c>
      <c r="C28" t="s">
        <v>41</v>
      </c>
      <c r="D28">
        <v>1</v>
      </c>
      <c r="E28">
        <v>4675200</v>
      </c>
      <c r="F28">
        <v>338</v>
      </c>
      <c r="G28">
        <v>0</v>
      </c>
      <c r="H28">
        <v>32</v>
      </c>
      <c r="I28">
        <v>20</v>
      </c>
      <c r="J28">
        <v>151</v>
      </c>
      <c r="L28" t="s">
        <v>192</v>
      </c>
      <c r="M28">
        <f>SUM(E30:E31)</f>
        <v>10502438</v>
      </c>
      <c r="O28" s="2" t="s">
        <v>230</v>
      </c>
      <c r="P28">
        <f>P27/SQRT(12)</f>
        <v>4436940.9757827865</v>
      </c>
    </row>
    <row r="29" spans="1:16" x14ac:dyDescent="0.3">
      <c r="A29" t="s">
        <v>9</v>
      </c>
      <c r="B29" t="s">
        <v>34</v>
      </c>
      <c r="C29" t="s">
        <v>42</v>
      </c>
      <c r="D29">
        <v>1</v>
      </c>
      <c r="E29">
        <v>4675200</v>
      </c>
      <c r="F29">
        <v>335.7</v>
      </c>
      <c r="G29">
        <v>0</v>
      </c>
      <c r="H29">
        <v>32</v>
      </c>
      <c r="I29">
        <v>20</v>
      </c>
      <c r="J29">
        <v>149</v>
      </c>
      <c r="L29" t="s">
        <v>193</v>
      </c>
      <c r="M29">
        <f>SUM(E32:E33)</f>
        <v>9539248</v>
      </c>
    </row>
    <row r="30" spans="1:16" x14ac:dyDescent="0.3">
      <c r="A30" t="s">
        <v>43</v>
      </c>
      <c r="B30" t="s">
        <v>25</v>
      </c>
      <c r="C30" t="s">
        <v>44</v>
      </c>
      <c r="D30">
        <v>1</v>
      </c>
      <c r="E30">
        <v>5251219</v>
      </c>
      <c r="F30">
        <v>358.5</v>
      </c>
      <c r="G30">
        <v>0</v>
      </c>
      <c r="H30">
        <v>32</v>
      </c>
      <c r="I30">
        <v>20</v>
      </c>
      <c r="J30">
        <v>151</v>
      </c>
      <c r="L30" t="s">
        <v>194</v>
      </c>
      <c r="M30">
        <f>SUM(E34:E35)</f>
        <v>14766162</v>
      </c>
      <c r="O30" s="2" t="s">
        <v>147</v>
      </c>
    </row>
    <row r="31" spans="1:16" x14ac:dyDescent="0.3">
      <c r="A31" t="s">
        <v>43</v>
      </c>
      <c r="B31" t="s">
        <v>25</v>
      </c>
      <c r="C31" t="s">
        <v>45</v>
      </c>
      <c r="D31">
        <v>1</v>
      </c>
      <c r="E31">
        <v>5251219</v>
      </c>
      <c r="F31">
        <v>355.4</v>
      </c>
      <c r="G31">
        <v>0</v>
      </c>
      <c r="H31">
        <v>32</v>
      </c>
      <c r="I31">
        <v>20</v>
      </c>
      <c r="J31">
        <v>149</v>
      </c>
      <c r="L31" t="s">
        <v>195</v>
      </c>
      <c r="M31">
        <f>SUM(E36:E37)</f>
        <v>10132036</v>
      </c>
      <c r="O31" t="s">
        <v>110</v>
      </c>
      <c r="P31">
        <f>SUM(E70:E71)</f>
        <v>58316470</v>
      </c>
    </row>
    <row r="32" spans="1:16" x14ac:dyDescent="0.3">
      <c r="A32" t="s">
        <v>43</v>
      </c>
      <c r="B32" t="s">
        <v>25</v>
      </c>
      <c r="C32" t="s">
        <v>46</v>
      </c>
      <c r="D32">
        <v>1</v>
      </c>
      <c r="E32">
        <v>4769624</v>
      </c>
      <c r="F32">
        <v>356.3</v>
      </c>
      <c r="G32">
        <v>0</v>
      </c>
      <c r="H32">
        <v>32</v>
      </c>
      <c r="I32">
        <v>20</v>
      </c>
      <c r="J32">
        <v>151</v>
      </c>
      <c r="L32" t="s">
        <v>196</v>
      </c>
      <c r="M32">
        <f>SUM(E38:E39)</f>
        <v>9622384</v>
      </c>
      <c r="O32" t="s">
        <v>111</v>
      </c>
      <c r="P32">
        <f>SUM(E72:E73)</f>
        <v>58674994</v>
      </c>
    </row>
    <row r="33" spans="1:16" x14ac:dyDescent="0.3">
      <c r="A33" t="s">
        <v>43</v>
      </c>
      <c r="B33" t="s">
        <v>25</v>
      </c>
      <c r="C33" t="s">
        <v>47</v>
      </c>
      <c r="D33">
        <v>1</v>
      </c>
      <c r="E33">
        <v>4769624</v>
      </c>
      <c r="F33">
        <v>354.1</v>
      </c>
      <c r="G33">
        <v>0</v>
      </c>
      <c r="H33">
        <v>31</v>
      </c>
      <c r="I33">
        <v>20</v>
      </c>
      <c r="J33">
        <v>149</v>
      </c>
      <c r="L33" t="s">
        <v>197</v>
      </c>
      <c r="M33">
        <f>SUM(E40:E41)</f>
        <v>10060296</v>
      </c>
      <c r="O33" t="s">
        <v>108</v>
      </c>
      <c r="P33">
        <f>SUM(E74:E75)</f>
        <v>57325270</v>
      </c>
    </row>
    <row r="34" spans="1:16" x14ac:dyDescent="0.3">
      <c r="A34" t="s">
        <v>43</v>
      </c>
      <c r="B34" t="s">
        <v>25</v>
      </c>
      <c r="C34" t="s">
        <v>48</v>
      </c>
      <c r="D34">
        <v>1</v>
      </c>
      <c r="E34">
        <v>7383081</v>
      </c>
      <c r="F34">
        <v>545.79999999999995</v>
      </c>
      <c r="G34">
        <v>0</v>
      </c>
      <c r="H34">
        <v>32</v>
      </c>
      <c r="I34">
        <v>20</v>
      </c>
      <c r="J34">
        <v>151</v>
      </c>
      <c r="L34" t="s">
        <v>198</v>
      </c>
      <c r="M34">
        <f>SUM(E42:E43)</f>
        <v>9876516</v>
      </c>
      <c r="O34" t="s">
        <v>109</v>
      </c>
      <c r="P34">
        <f>SUM(E76:E77)</f>
        <v>59792434</v>
      </c>
    </row>
    <row r="35" spans="1:16" x14ac:dyDescent="0.3">
      <c r="A35" t="s">
        <v>43</v>
      </c>
      <c r="B35" t="s">
        <v>25</v>
      </c>
      <c r="C35" t="s">
        <v>49</v>
      </c>
      <c r="D35">
        <v>1</v>
      </c>
      <c r="E35">
        <v>7383081</v>
      </c>
      <c r="F35">
        <v>542.4</v>
      </c>
      <c r="G35">
        <v>0</v>
      </c>
      <c r="H35">
        <v>31</v>
      </c>
      <c r="I35">
        <v>20</v>
      </c>
      <c r="J35">
        <v>149</v>
      </c>
      <c r="L35" t="s">
        <v>199</v>
      </c>
      <c r="M35">
        <f>SUM(E44:E45)</f>
        <v>9793594</v>
      </c>
      <c r="O35" s="2" t="s">
        <v>117</v>
      </c>
      <c r="P35">
        <f>AVERAGE(P31:P34)</f>
        <v>58527292</v>
      </c>
    </row>
    <row r="36" spans="1:16" x14ac:dyDescent="0.3">
      <c r="A36" t="s">
        <v>43</v>
      </c>
      <c r="B36" t="s">
        <v>25</v>
      </c>
      <c r="C36" t="s">
        <v>50</v>
      </c>
      <c r="D36">
        <v>1</v>
      </c>
      <c r="E36">
        <v>5066018</v>
      </c>
      <c r="F36">
        <v>316.3</v>
      </c>
      <c r="G36">
        <v>0</v>
      </c>
      <c r="H36">
        <v>34</v>
      </c>
      <c r="I36">
        <v>20</v>
      </c>
      <c r="J36">
        <v>151</v>
      </c>
      <c r="L36" s="2" t="s">
        <v>117</v>
      </c>
      <c r="M36">
        <f>AVERAGE(M14:M35)</f>
        <v>10474390.727272727</v>
      </c>
      <c r="O36" s="2" t="s">
        <v>229</v>
      </c>
      <c r="P36">
        <f>_xlfn.STDEV.S(P31:P34)</f>
        <v>1018447.0146806852</v>
      </c>
    </row>
    <row r="37" spans="1:16" x14ac:dyDescent="0.3">
      <c r="A37" t="s">
        <v>43</v>
      </c>
      <c r="B37" t="s">
        <v>25</v>
      </c>
      <c r="C37" t="s">
        <v>51</v>
      </c>
      <c r="D37">
        <v>1</v>
      </c>
      <c r="E37">
        <v>5066018</v>
      </c>
      <c r="F37">
        <v>313.39999999999998</v>
      </c>
      <c r="G37">
        <v>0</v>
      </c>
      <c r="H37">
        <v>33</v>
      </c>
      <c r="I37">
        <v>20</v>
      </c>
      <c r="J37">
        <v>149</v>
      </c>
      <c r="L37" s="2" t="s">
        <v>206</v>
      </c>
      <c r="M37">
        <f>_xlfn.STDEV.S(M14:M35)</f>
        <v>1271738.1072455149</v>
      </c>
      <c r="O37" s="2" t="s">
        <v>230</v>
      </c>
      <c r="P37">
        <f>P36/SQRT(4)</f>
        <v>509223.50734034262</v>
      </c>
    </row>
    <row r="38" spans="1:16" x14ac:dyDescent="0.3">
      <c r="A38" t="s">
        <v>43</v>
      </c>
      <c r="B38" t="s">
        <v>34</v>
      </c>
      <c r="C38" t="s">
        <v>52</v>
      </c>
      <c r="D38">
        <v>1</v>
      </c>
      <c r="E38">
        <v>4811192</v>
      </c>
      <c r="F38">
        <v>316.60000000000002</v>
      </c>
      <c r="G38">
        <v>0</v>
      </c>
      <c r="H38">
        <v>34</v>
      </c>
      <c r="I38">
        <v>20</v>
      </c>
      <c r="J38">
        <v>151</v>
      </c>
      <c r="L38" s="2" t="s">
        <v>207</v>
      </c>
      <c r="M38">
        <f>M37/SQRT(22)</f>
        <v>271135.47548147186</v>
      </c>
    </row>
    <row r="39" spans="1:16" x14ac:dyDescent="0.3">
      <c r="A39" t="s">
        <v>43</v>
      </c>
      <c r="B39" t="s">
        <v>34</v>
      </c>
      <c r="C39" t="s">
        <v>53</v>
      </c>
      <c r="D39">
        <v>1</v>
      </c>
      <c r="E39">
        <v>4811192</v>
      </c>
      <c r="F39">
        <v>314</v>
      </c>
      <c r="G39">
        <v>0</v>
      </c>
      <c r="H39">
        <v>33</v>
      </c>
      <c r="I39">
        <v>20</v>
      </c>
      <c r="J39">
        <v>149</v>
      </c>
    </row>
    <row r="40" spans="1:16" x14ac:dyDescent="0.3">
      <c r="A40" t="s">
        <v>43</v>
      </c>
      <c r="B40" t="s">
        <v>34</v>
      </c>
      <c r="C40" t="s">
        <v>54</v>
      </c>
      <c r="D40">
        <v>1</v>
      </c>
      <c r="E40">
        <v>5030148</v>
      </c>
      <c r="F40">
        <v>351.7</v>
      </c>
      <c r="G40">
        <v>0</v>
      </c>
      <c r="H40">
        <v>33</v>
      </c>
      <c r="I40">
        <v>20</v>
      </c>
      <c r="J40">
        <v>151</v>
      </c>
    </row>
    <row r="41" spans="1:16" x14ac:dyDescent="0.3">
      <c r="A41" t="s">
        <v>43</v>
      </c>
      <c r="B41" t="s">
        <v>34</v>
      </c>
      <c r="C41" t="s">
        <v>55</v>
      </c>
      <c r="D41">
        <v>1</v>
      </c>
      <c r="E41">
        <v>5030148</v>
      </c>
      <c r="F41">
        <v>349.3</v>
      </c>
      <c r="G41">
        <v>0</v>
      </c>
      <c r="H41">
        <v>33</v>
      </c>
      <c r="I41">
        <v>20</v>
      </c>
      <c r="J41">
        <v>149</v>
      </c>
      <c r="M41" s="2"/>
    </row>
    <row r="42" spans="1:16" x14ac:dyDescent="0.3">
      <c r="A42" t="s">
        <v>43</v>
      </c>
      <c r="B42" t="s">
        <v>34</v>
      </c>
      <c r="C42" t="s">
        <v>56</v>
      </c>
      <c r="D42">
        <v>1</v>
      </c>
      <c r="E42">
        <v>4938258</v>
      </c>
      <c r="F42">
        <v>332.4</v>
      </c>
      <c r="G42">
        <v>0</v>
      </c>
      <c r="H42">
        <v>33</v>
      </c>
      <c r="I42">
        <v>20</v>
      </c>
      <c r="J42">
        <v>151</v>
      </c>
      <c r="M42" s="2"/>
    </row>
    <row r="43" spans="1:16" x14ac:dyDescent="0.3">
      <c r="A43" t="s">
        <v>43</v>
      </c>
      <c r="B43" t="s">
        <v>34</v>
      </c>
      <c r="C43" t="s">
        <v>57</v>
      </c>
      <c r="D43">
        <v>1</v>
      </c>
      <c r="E43">
        <v>4938258</v>
      </c>
      <c r="F43">
        <v>329.7</v>
      </c>
      <c r="G43">
        <v>0</v>
      </c>
      <c r="H43">
        <v>33</v>
      </c>
      <c r="I43">
        <v>20</v>
      </c>
      <c r="J43">
        <v>149</v>
      </c>
    </row>
    <row r="44" spans="1:16" x14ac:dyDescent="0.3">
      <c r="A44" t="s">
        <v>43</v>
      </c>
      <c r="B44" t="s">
        <v>34</v>
      </c>
      <c r="C44" t="s">
        <v>58</v>
      </c>
      <c r="D44">
        <v>1</v>
      </c>
      <c r="E44">
        <v>4896797</v>
      </c>
      <c r="F44">
        <v>343.7</v>
      </c>
      <c r="G44">
        <v>0</v>
      </c>
      <c r="H44">
        <v>33</v>
      </c>
      <c r="I44">
        <v>20</v>
      </c>
      <c r="J44">
        <v>151</v>
      </c>
    </row>
    <row r="45" spans="1:16" x14ac:dyDescent="0.3">
      <c r="A45" t="s">
        <v>43</v>
      </c>
      <c r="B45" t="s">
        <v>34</v>
      </c>
      <c r="C45" t="s">
        <v>59</v>
      </c>
      <c r="D45">
        <v>1</v>
      </c>
      <c r="E45">
        <v>4896797</v>
      </c>
      <c r="F45">
        <v>340.3</v>
      </c>
      <c r="G45">
        <v>0</v>
      </c>
      <c r="H45">
        <v>32</v>
      </c>
      <c r="I45">
        <v>20</v>
      </c>
      <c r="J45">
        <v>149</v>
      </c>
    </row>
    <row r="46" spans="1:16" x14ac:dyDescent="0.3">
      <c r="A46" t="s">
        <v>9</v>
      </c>
      <c r="B46" t="s">
        <v>10</v>
      </c>
      <c r="C46" t="s">
        <v>152</v>
      </c>
      <c r="D46">
        <v>2</v>
      </c>
      <c r="E46">
        <v>19767135</v>
      </c>
      <c r="F46" t="s">
        <v>208</v>
      </c>
      <c r="G46">
        <v>0</v>
      </c>
      <c r="H46">
        <v>35</v>
      </c>
      <c r="I46">
        <v>20</v>
      </c>
      <c r="J46">
        <v>151</v>
      </c>
    </row>
    <row r="47" spans="1:16" x14ac:dyDescent="0.3">
      <c r="A47" t="s">
        <v>9</v>
      </c>
      <c r="B47" t="s">
        <v>10</v>
      </c>
      <c r="C47" t="s">
        <v>152</v>
      </c>
      <c r="D47">
        <v>2</v>
      </c>
      <c r="E47">
        <v>19767135</v>
      </c>
      <c r="F47" t="s">
        <v>208</v>
      </c>
      <c r="G47">
        <v>0</v>
      </c>
      <c r="H47">
        <v>35</v>
      </c>
      <c r="I47">
        <v>20</v>
      </c>
      <c r="J47">
        <v>149</v>
      </c>
    </row>
    <row r="48" spans="1:16" x14ac:dyDescent="0.3">
      <c r="A48" t="s">
        <v>9</v>
      </c>
      <c r="B48" t="s">
        <v>10</v>
      </c>
      <c r="C48" t="s">
        <v>151</v>
      </c>
      <c r="D48">
        <v>2</v>
      </c>
      <c r="E48">
        <v>9814991</v>
      </c>
      <c r="F48" t="s">
        <v>209</v>
      </c>
      <c r="G48">
        <v>0</v>
      </c>
      <c r="H48">
        <v>35</v>
      </c>
      <c r="I48">
        <v>20</v>
      </c>
      <c r="J48">
        <v>151</v>
      </c>
    </row>
    <row r="49" spans="1:10" x14ac:dyDescent="0.3">
      <c r="A49" t="s">
        <v>9</v>
      </c>
      <c r="B49" t="s">
        <v>10</v>
      </c>
      <c r="C49" t="s">
        <v>151</v>
      </c>
      <c r="D49">
        <v>2</v>
      </c>
      <c r="E49">
        <v>9814991</v>
      </c>
      <c r="F49" t="s">
        <v>210</v>
      </c>
      <c r="G49">
        <v>0</v>
      </c>
      <c r="H49">
        <v>35</v>
      </c>
      <c r="I49">
        <v>20</v>
      </c>
      <c r="J49">
        <v>149</v>
      </c>
    </row>
    <row r="50" spans="1:10" x14ac:dyDescent="0.3">
      <c r="A50" t="s">
        <v>9</v>
      </c>
      <c r="B50" t="s">
        <v>15</v>
      </c>
      <c r="C50" t="s">
        <v>153</v>
      </c>
      <c r="D50">
        <v>2</v>
      </c>
      <c r="E50">
        <v>18755372</v>
      </c>
      <c r="F50" t="s">
        <v>211</v>
      </c>
      <c r="G50">
        <v>0</v>
      </c>
      <c r="H50">
        <v>35</v>
      </c>
      <c r="I50">
        <v>20</v>
      </c>
      <c r="J50">
        <v>151</v>
      </c>
    </row>
    <row r="51" spans="1:10" x14ac:dyDescent="0.3">
      <c r="A51" t="s">
        <v>9</v>
      </c>
      <c r="B51" t="s">
        <v>15</v>
      </c>
      <c r="C51" t="s">
        <v>153</v>
      </c>
      <c r="D51">
        <v>2</v>
      </c>
      <c r="E51">
        <v>18755372</v>
      </c>
      <c r="F51" t="s">
        <v>212</v>
      </c>
      <c r="G51">
        <v>0</v>
      </c>
      <c r="H51">
        <v>36</v>
      </c>
      <c r="I51">
        <v>20</v>
      </c>
      <c r="J51">
        <v>149</v>
      </c>
    </row>
    <row r="52" spans="1:10" x14ac:dyDescent="0.3">
      <c r="A52" t="s">
        <v>9</v>
      </c>
      <c r="B52" t="s">
        <v>15</v>
      </c>
      <c r="C52" t="s">
        <v>154</v>
      </c>
      <c r="D52">
        <v>2</v>
      </c>
      <c r="E52">
        <v>12314013</v>
      </c>
      <c r="F52" t="s">
        <v>213</v>
      </c>
      <c r="G52">
        <v>0</v>
      </c>
      <c r="H52">
        <v>37</v>
      </c>
      <c r="I52">
        <v>20</v>
      </c>
      <c r="J52">
        <v>151</v>
      </c>
    </row>
    <row r="53" spans="1:10" x14ac:dyDescent="0.3">
      <c r="A53" t="s">
        <v>9</v>
      </c>
      <c r="B53" t="s">
        <v>15</v>
      </c>
      <c r="C53" t="s">
        <v>154</v>
      </c>
      <c r="D53">
        <v>2</v>
      </c>
      <c r="E53">
        <v>12314013</v>
      </c>
      <c r="F53" t="s">
        <v>214</v>
      </c>
      <c r="G53">
        <v>0</v>
      </c>
      <c r="H53">
        <v>37</v>
      </c>
      <c r="I53">
        <v>20</v>
      </c>
      <c r="J53">
        <v>149</v>
      </c>
    </row>
    <row r="54" spans="1:10" x14ac:dyDescent="0.3">
      <c r="A54" t="s">
        <v>9</v>
      </c>
      <c r="B54" t="s">
        <v>20</v>
      </c>
      <c r="C54" t="s">
        <v>155</v>
      </c>
      <c r="D54">
        <v>2</v>
      </c>
      <c r="E54">
        <v>34465923</v>
      </c>
      <c r="F54" t="s">
        <v>215</v>
      </c>
      <c r="G54">
        <v>0</v>
      </c>
      <c r="H54">
        <v>35</v>
      </c>
      <c r="I54">
        <v>20</v>
      </c>
      <c r="J54">
        <v>151</v>
      </c>
    </row>
    <row r="55" spans="1:10" x14ac:dyDescent="0.3">
      <c r="A55" t="s">
        <v>9</v>
      </c>
      <c r="B55" t="s">
        <v>20</v>
      </c>
      <c r="C55" t="s">
        <v>155</v>
      </c>
      <c r="D55">
        <v>2</v>
      </c>
      <c r="E55">
        <v>34465923</v>
      </c>
      <c r="F55" t="s">
        <v>215</v>
      </c>
      <c r="G55">
        <v>0</v>
      </c>
      <c r="H55">
        <v>36</v>
      </c>
      <c r="I55">
        <v>20</v>
      </c>
      <c r="J55">
        <v>149</v>
      </c>
    </row>
    <row r="56" spans="1:10" x14ac:dyDescent="0.3">
      <c r="A56" t="s">
        <v>9</v>
      </c>
      <c r="B56" t="s">
        <v>20</v>
      </c>
      <c r="C56" t="s">
        <v>156</v>
      </c>
      <c r="D56">
        <v>2</v>
      </c>
      <c r="E56">
        <v>13063356</v>
      </c>
      <c r="F56" t="s">
        <v>216</v>
      </c>
      <c r="G56">
        <v>0</v>
      </c>
      <c r="H56">
        <v>35</v>
      </c>
      <c r="I56">
        <v>20</v>
      </c>
      <c r="J56">
        <v>151</v>
      </c>
    </row>
    <row r="57" spans="1:10" x14ac:dyDescent="0.3">
      <c r="A57" t="s">
        <v>9</v>
      </c>
      <c r="B57" t="s">
        <v>20</v>
      </c>
      <c r="C57" t="s">
        <v>156</v>
      </c>
      <c r="D57">
        <v>2</v>
      </c>
      <c r="E57">
        <v>13063356</v>
      </c>
      <c r="F57" t="s">
        <v>217</v>
      </c>
      <c r="G57">
        <v>0</v>
      </c>
      <c r="H57">
        <v>36</v>
      </c>
      <c r="I57">
        <v>20</v>
      </c>
      <c r="J57">
        <v>149</v>
      </c>
    </row>
    <row r="58" spans="1:10" x14ac:dyDescent="0.3">
      <c r="A58" t="s">
        <v>43</v>
      </c>
      <c r="B58" t="s">
        <v>10</v>
      </c>
      <c r="C58" t="s">
        <v>157</v>
      </c>
      <c r="D58">
        <v>2</v>
      </c>
      <c r="E58">
        <v>8832220</v>
      </c>
      <c r="F58" t="s">
        <v>218</v>
      </c>
      <c r="G58">
        <v>0</v>
      </c>
      <c r="H58">
        <v>37</v>
      </c>
      <c r="I58">
        <v>20</v>
      </c>
      <c r="J58">
        <v>151</v>
      </c>
    </row>
    <row r="59" spans="1:10" x14ac:dyDescent="0.3">
      <c r="A59" t="s">
        <v>43</v>
      </c>
      <c r="B59" t="s">
        <v>10</v>
      </c>
      <c r="C59" t="s">
        <v>157</v>
      </c>
      <c r="D59">
        <v>2</v>
      </c>
      <c r="E59">
        <v>8832220</v>
      </c>
      <c r="F59" t="s">
        <v>219</v>
      </c>
      <c r="G59">
        <v>0</v>
      </c>
      <c r="H59">
        <v>38</v>
      </c>
      <c r="I59">
        <v>20</v>
      </c>
      <c r="J59">
        <v>149</v>
      </c>
    </row>
    <row r="60" spans="1:10" x14ac:dyDescent="0.3">
      <c r="A60" t="s">
        <v>43</v>
      </c>
      <c r="B60" t="s">
        <v>10</v>
      </c>
      <c r="C60" t="s">
        <v>158</v>
      </c>
      <c r="D60">
        <v>2</v>
      </c>
      <c r="E60">
        <v>7998331</v>
      </c>
      <c r="F60" t="s">
        <v>220</v>
      </c>
      <c r="G60">
        <v>0</v>
      </c>
      <c r="H60">
        <v>36</v>
      </c>
      <c r="I60">
        <v>20</v>
      </c>
      <c r="J60">
        <v>151</v>
      </c>
    </row>
    <row r="61" spans="1:10" x14ac:dyDescent="0.3">
      <c r="A61" t="s">
        <v>43</v>
      </c>
      <c r="B61" t="s">
        <v>10</v>
      </c>
      <c r="C61" t="s">
        <v>158</v>
      </c>
      <c r="D61">
        <v>2</v>
      </c>
      <c r="E61">
        <v>7998331</v>
      </c>
      <c r="F61" t="s">
        <v>221</v>
      </c>
      <c r="G61">
        <v>0</v>
      </c>
      <c r="H61">
        <v>36</v>
      </c>
      <c r="I61">
        <v>20</v>
      </c>
      <c r="J61">
        <v>149</v>
      </c>
    </row>
    <row r="62" spans="1:10" x14ac:dyDescent="0.3">
      <c r="A62" t="s">
        <v>43</v>
      </c>
      <c r="B62" t="s">
        <v>10</v>
      </c>
      <c r="C62" t="s">
        <v>159</v>
      </c>
      <c r="D62">
        <v>2</v>
      </c>
      <c r="E62">
        <v>10365606</v>
      </c>
      <c r="F62" t="s">
        <v>222</v>
      </c>
      <c r="G62">
        <v>0</v>
      </c>
      <c r="H62">
        <v>35</v>
      </c>
      <c r="I62">
        <v>20</v>
      </c>
      <c r="J62">
        <v>151</v>
      </c>
    </row>
    <row r="63" spans="1:10" x14ac:dyDescent="0.3">
      <c r="A63" t="s">
        <v>43</v>
      </c>
      <c r="B63" t="s">
        <v>10</v>
      </c>
      <c r="C63" t="s">
        <v>159</v>
      </c>
      <c r="D63">
        <v>2</v>
      </c>
      <c r="E63">
        <v>10365606</v>
      </c>
      <c r="F63" t="s">
        <v>223</v>
      </c>
      <c r="G63">
        <v>0</v>
      </c>
      <c r="H63">
        <v>36</v>
      </c>
      <c r="I63">
        <v>20</v>
      </c>
      <c r="J63">
        <v>149</v>
      </c>
    </row>
    <row r="64" spans="1:10" x14ac:dyDescent="0.3">
      <c r="A64" t="s">
        <v>43</v>
      </c>
      <c r="B64" t="s">
        <v>15</v>
      </c>
      <c r="C64" t="s">
        <v>162</v>
      </c>
      <c r="D64">
        <v>2</v>
      </c>
      <c r="E64">
        <v>24206272</v>
      </c>
      <c r="F64" t="s">
        <v>224</v>
      </c>
      <c r="G64">
        <v>0</v>
      </c>
      <c r="H64">
        <v>34</v>
      </c>
      <c r="I64">
        <v>20</v>
      </c>
      <c r="J64">
        <v>151</v>
      </c>
    </row>
    <row r="65" spans="1:12" x14ac:dyDescent="0.3">
      <c r="A65" t="s">
        <v>43</v>
      </c>
      <c r="B65" t="s">
        <v>15</v>
      </c>
      <c r="C65" t="s">
        <v>162</v>
      </c>
      <c r="D65">
        <v>2</v>
      </c>
      <c r="E65">
        <v>24206272</v>
      </c>
      <c r="F65" t="s">
        <v>224</v>
      </c>
      <c r="G65">
        <v>0</v>
      </c>
      <c r="H65">
        <v>35</v>
      </c>
      <c r="I65">
        <v>20</v>
      </c>
      <c r="J65">
        <v>149</v>
      </c>
    </row>
    <row r="66" spans="1:12" x14ac:dyDescent="0.3">
      <c r="A66" t="s">
        <v>43</v>
      </c>
      <c r="B66" t="s">
        <v>15</v>
      </c>
      <c r="C66" t="s">
        <v>160</v>
      </c>
      <c r="D66">
        <v>2</v>
      </c>
      <c r="E66">
        <v>17022019</v>
      </c>
      <c r="F66" t="s">
        <v>225</v>
      </c>
      <c r="G66">
        <v>0</v>
      </c>
      <c r="H66">
        <v>34</v>
      </c>
      <c r="I66">
        <v>20</v>
      </c>
      <c r="J66">
        <v>151</v>
      </c>
    </row>
    <row r="67" spans="1:12" x14ac:dyDescent="0.3">
      <c r="A67" t="s">
        <v>43</v>
      </c>
      <c r="B67" t="s">
        <v>15</v>
      </c>
      <c r="C67" t="s">
        <v>160</v>
      </c>
      <c r="D67">
        <v>2</v>
      </c>
      <c r="E67">
        <v>17022019</v>
      </c>
      <c r="F67" t="s">
        <v>226</v>
      </c>
      <c r="G67">
        <v>0</v>
      </c>
      <c r="H67">
        <v>35</v>
      </c>
      <c r="I67">
        <v>20</v>
      </c>
      <c r="J67">
        <v>149</v>
      </c>
    </row>
    <row r="68" spans="1:12" ht="15.6" x14ac:dyDescent="0.3">
      <c r="A68" t="s">
        <v>43</v>
      </c>
      <c r="B68" t="s">
        <v>15</v>
      </c>
      <c r="C68" t="s">
        <v>161</v>
      </c>
      <c r="D68">
        <v>2</v>
      </c>
      <c r="E68">
        <v>12605122</v>
      </c>
      <c r="F68" t="s">
        <v>227</v>
      </c>
      <c r="G68">
        <v>0</v>
      </c>
      <c r="H68">
        <v>35</v>
      </c>
      <c r="I68">
        <v>20</v>
      </c>
      <c r="J68">
        <v>151</v>
      </c>
      <c r="L68" s="9"/>
    </row>
    <row r="69" spans="1:12" ht="15.6" x14ac:dyDescent="0.3">
      <c r="A69" t="s">
        <v>43</v>
      </c>
      <c r="B69" t="s">
        <v>15</v>
      </c>
      <c r="C69" t="s">
        <v>161</v>
      </c>
      <c r="D69">
        <v>2</v>
      </c>
      <c r="E69">
        <v>12605122</v>
      </c>
      <c r="F69" t="s">
        <v>228</v>
      </c>
      <c r="G69">
        <v>0</v>
      </c>
      <c r="H69">
        <v>36</v>
      </c>
      <c r="I69">
        <v>20</v>
      </c>
      <c r="J69">
        <v>149</v>
      </c>
      <c r="L69" s="9"/>
    </row>
    <row r="70" spans="1:12" x14ac:dyDescent="0.3">
      <c r="A70" t="s">
        <v>9</v>
      </c>
      <c r="B70" t="s">
        <v>34</v>
      </c>
      <c r="C70" t="s">
        <v>110</v>
      </c>
      <c r="D70">
        <v>1</v>
      </c>
      <c r="E70">
        <v>29158235</v>
      </c>
      <c r="F70" t="s">
        <v>231</v>
      </c>
      <c r="G70">
        <v>0</v>
      </c>
      <c r="H70">
        <v>24</v>
      </c>
      <c r="I70">
        <v>20</v>
      </c>
      <c r="J70">
        <v>151</v>
      </c>
    </row>
    <row r="71" spans="1:12" x14ac:dyDescent="0.3">
      <c r="A71" t="s">
        <v>9</v>
      </c>
      <c r="B71" t="s">
        <v>34</v>
      </c>
      <c r="C71" t="s">
        <v>110</v>
      </c>
      <c r="D71">
        <v>1</v>
      </c>
      <c r="E71">
        <v>29158235</v>
      </c>
      <c r="F71" t="s">
        <v>231</v>
      </c>
      <c r="G71">
        <v>0</v>
      </c>
      <c r="H71">
        <v>26</v>
      </c>
      <c r="I71">
        <v>20</v>
      </c>
      <c r="J71">
        <v>149</v>
      </c>
    </row>
    <row r="72" spans="1:12" x14ac:dyDescent="0.3">
      <c r="A72" t="s">
        <v>9</v>
      </c>
      <c r="B72" t="s">
        <v>34</v>
      </c>
      <c r="C72" t="s">
        <v>111</v>
      </c>
      <c r="D72">
        <v>1</v>
      </c>
      <c r="E72">
        <v>29337497</v>
      </c>
      <c r="F72" t="s">
        <v>231</v>
      </c>
      <c r="G72">
        <v>0</v>
      </c>
      <c r="H72">
        <v>24</v>
      </c>
      <c r="I72">
        <v>20</v>
      </c>
      <c r="J72">
        <v>151</v>
      </c>
    </row>
    <row r="73" spans="1:12" x14ac:dyDescent="0.3">
      <c r="A73" t="s">
        <v>9</v>
      </c>
      <c r="B73" t="s">
        <v>34</v>
      </c>
      <c r="C73" t="s">
        <v>111</v>
      </c>
      <c r="D73">
        <v>1</v>
      </c>
      <c r="E73">
        <v>29337497</v>
      </c>
      <c r="F73" t="s">
        <v>231</v>
      </c>
      <c r="G73">
        <v>0</v>
      </c>
      <c r="H73">
        <v>26</v>
      </c>
      <c r="I73">
        <v>20</v>
      </c>
      <c r="J73">
        <v>149</v>
      </c>
    </row>
    <row r="74" spans="1:12" x14ac:dyDescent="0.3">
      <c r="A74" t="s">
        <v>9</v>
      </c>
      <c r="B74" t="s">
        <v>25</v>
      </c>
      <c r="C74" t="s">
        <v>108</v>
      </c>
      <c r="D74">
        <v>1</v>
      </c>
      <c r="E74">
        <v>28662635</v>
      </c>
      <c r="F74" t="s">
        <v>232</v>
      </c>
      <c r="G74">
        <v>0</v>
      </c>
      <c r="H74">
        <v>24</v>
      </c>
      <c r="I74">
        <v>20</v>
      </c>
      <c r="J74">
        <v>151</v>
      </c>
    </row>
    <row r="75" spans="1:12" x14ac:dyDescent="0.3">
      <c r="A75" t="s">
        <v>9</v>
      </c>
      <c r="B75" t="s">
        <v>25</v>
      </c>
      <c r="C75" t="s">
        <v>108</v>
      </c>
      <c r="D75">
        <v>1</v>
      </c>
      <c r="E75">
        <v>28662635</v>
      </c>
      <c r="F75" t="s">
        <v>232</v>
      </c>
      <c r="G75">
        <v>0</v>
      </c>
      <c r="H75">
        <v>26</v>
      </c>
      <c r="I75">
        <v>20</v>
      </c>
      <c r="J75">
        <v>149</v>
      </c>
    </row>
    <row r="76" spans="1:12" x14ac:dyDescent="0.3">
      <c r="A76" t="s">
        <v>9</v>
      </c>
      <c r="B76" t="s">
        <v>25</v>
      </c>
      <c r="C76" t="s">
        <v>109</v>
      </c>
      <c r="D76">
        <v>1</v>
      </c>
      <c r="E76">
        <v>29896217</v>
      </c>
      <c r="F76" t="s">
        <v>233</v>
      </c>
      <c r="G76">
        <v>0</v>
      </c>
      <c r="H76">
        <v>24</v>
      </c>
      <c r="I76">
        <v>20</v>
      </c>
      <c r="J76">
        <v>151</v>
      </c>
    </row>
    <row r="77" spans="1:12" x14ac:dyDescent="0.3">
      <c r="A77" t="s">
        <v>9</v>
      </c>
      <c r="B77" t="s">
        <v>25</v>
      </c>
      <c r="C77" t="s">
        <v>109</v>
      </c>
      <c r="D77">
        <v>1</v>
      </c>
      <c r="E77">
        <v>29896217</v>
      </c>
      <c r="F77" t="s">
        <v>233</v>
      </c>
      <c r="G77">
        <v>0</v>
      </c>
      <c r="H77">
        <v>27</v>
      </c>
      <c r="I77">
        <v>20</v>
      </c>
      <c r="J77">
        <v>149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D434-088D-4343-A5DB-014A2AA47134}">
  <dimension ref="A1:S115"/>
  <sheetViews>
    <sheetView zoomScaleNormal="100" workbookViewId="0">
      <pane ySplit="1" topLeftCell="A98" activePane="bottomLeft" state="frozen"/>
      <selection pane="bottomLeft" activeCell="G116" sqref="G116"/>
    </sheetView>
  </sheetViews>
  <sheetFormatPr defaultRowHeight="14.4" x14ac:dyDescent="0.3"/>
  <cols>
    <col min="1" max="1" width="10.21875" bestFit="1" customWidth="1"/>
    <col min="2" max="2" width="14.44140625" bestFit="1" customWidth="1"/>
    <col min="3" max="3" width="17.33203125" bestFit="1" customWidth="1"/>
    <col min="4" max="4" width="17.77734375" bestFit="1" customWidth="1"/>
    <col min="5" max="5" width="16.5546875" bestFit="1" customWidth="1"/>
    <col min="7" max="7" width="11.109375" customWidth="1"/>
    <col min="8" max="8" width="17.77734375" bestFit="1" customWidth="1"/>
    <col min="9" max="9" width="16.5546875" bestFit="1" customWidth="1"/>
    <col min="10" max="10" width="17.77734375" bestFit="1" customWidth="1"/>
    <col min="11" max="11" width="16.5546875" bestFit="1" customWidth="1"/>
    <col min="14" max="14" width="17.33203125" bestFit="1" customWidth="1"/>
  </cols>
  <sheetData>
    <row r="1" spans="1:19" x14ac:dyDescent="0.3">
      <c r="A1" s="2" t="s">
        <v>1</v>
      </c>
      <c r="B1" s="2" t="s">
        <v>112</v>
      </c>
      <c r="C1" s="2" t="s">
        <v>146</v>
      </c>
      <c r="D1" s="2" t="s">
        <v>113</v>
      </c>
      <c r="E1" s="2" t="s">
        <v>87</v>
      </c>
      <c r="F1" s="2" t="s">
        <v>163</v>
      </c>
      <c r="G1" s="2" t="s">
        <v>121</v>
      </c>
      <c r="H1" s="2"/>
      <c r="I1" s="2"/>
      <c r="J1" s="2"/>
      <c r="K1" s="2"/>
    </row>
    <row r="2" spans="1:19" x14ac:dyDescent="0.3">
      <c r="A2" t="s">
        <v>20</v>
      </c>
      <c r="B2" t="s">
        <v>140</v>
      </c>
      <c r="C2" t="s">
        <v>122</v>
      </c>
      <c r="D2" t="s">
        <v>120</v>
      </c>
      <c r="E2" t="s">
        <v>88</v>
      </c>
      <c r="F2">
        <v>1</v>
      </c>
      <c r="G2" s="4">
        <v>7516</v>
      </c>
      <c r="H2">
        <f>AVERAGE(G2:G35)</f>
        <v>40226.294117647056</v>
      </c>
      <c r="I2" t="s">
        <v>204</v>
      </c>
    </row>
    <row r="3" spans="1:19" x14ac:dyDescent="0.3">
      <c r="A3" t="s">
        <v>20</v>
      </c>
      <c r="B3" t="s">
        <v>140</v>
      </c>
      <c r="C3" t="s">
        <v>123</v>
      </c>
      <c r="D3" t="s">
        <v>120</v>
      </c>
      <c r="E3" t="s">
        <v>88</v>
      </c>
      <c r="F3">
        <v>1</v>
      </c>
      <c r="G3" s="4">
        <v>8439</v>
      </c>
    </row>
    <row r="4" spans="1:19" x14ac:dyDescent="0.3">
      <c r="A4" t="s">
        <v>20</v>
      </c>
      <c r="B4" t="s">
        <v>140</v>
      </c>
      <c r="C4" t="s">
        <v>155</v>
      </c>
      <c r="D4" t="s">
        <v>120</v>
      </c>
      <c r="E4" t="s">
        <v>88</v>
      </c>
      <c r="F4">
        <v>2</v>
      </c>
      <c r="G4" s="4">
        <v>247026</v>
      </c>
    </row>
    <row r="5" spans="1:19" x14ac:dyDescent="0.3">
      <c r="A5" t="s">
        <v>20</v>
      </c>
      <c r="B5" t="s">
        <v>140</v>
      </c>
      <c r="C5" t="s">
        <v>156</v>
      </c>
      <c r="D5" t="s">
        <v>120</v>
      </c>
      <c r="E5" t="s">
        <v>88</v>
      </c>
      <c r="F5">
        <v>2</v>
      </c>
      <c r="G5" s="4">
        <v>61765</v>
      </c>
    </row>
    <row r="6" spans="1:19" x14ac:dyDescent="0.3">
      <c r="A6" t="s">
        <v>15</v>
      </c>
      <c r="B6" t="s">
        <v>140</v>
      </c>
      <c r="C6" t="s">
        <v>124</v>
      </c>
      <c r="D6" t="s">
        <v>120</v>
      </c>
      <c r="E6" t="s">
        <v>88</v>
      </c>
      <c r="F6">
        <v>1</v>
      </c>
      <c r="G6" s="4">
        <v>7847</v>
      </c>
    </row>
    <row r="7" spans="1:19" x14ac:dyDescent="0.3">
      <c r="A7" t="s">
        <v>15</v>
      </c>
      <c r="B7" t="s">
        <v>140</v>
      </c>
      <c r="C7" t="s">
        <v>125</v>
      </c>
      <c r="D7" t="s">
        <v>120</v>
      </c>
      <c r="E7" t="s">
        <v>88</v>
      </c>
      <c r="F7">
        <v>1</v>
      </c>
      <c r="G7" s="4">
        <v>9420</v>
      </c>
      <c r="H7" s="8">
        <v>40226.294117647099</v>
      </c>
      <c r="O7" s="2"/>
    </row>
    <row r="8" spans="1:19" x14ac:dyDescent="0.3">
      <c r="A8" t="s">
        <v>15</v>
      </c>
      <c r="B8" t="s">
        <v>140</v>
      </c>
      <c r="C8" t="s">
        <v>153</v>
      </c>
      <c r="D8" t="s">
        <v>120</v>
      </c>
      <c r="E8" t="s">
        <v>88</v>
      </c>
      <c r="F8">
        <v>2</v>
      </c>
      <c r="G8" s="4">
        <v>109806</v>
      </c>
      <c r="O8" s="2"/>
    </row>
    <row r="9" spans="1:19" x14ac:dyDescent="0.3">
      <c r="A9" t="s">
        <v>15</v>
      </c>
      <c r="B9" t="s">
        <v>140</v>
      </c>
      <c r="C9" t="s">
        <v>154</v>
      </c>
      <c r="D9" t="s">
        <v>120</v>
      </c>
      <c r="E9" t="s">
        <v>88</v>
      </c>
      <c r="F9">
        <v>2</v>
      </c>
      <c r="G9" s="4">
        <v>65612</v>
      </c>
    </row>
    <row r="10" spans="1:19" x14ac:dyDescent="0.3">
      <c r="A10" t="s">
        <v>10</v>
      </c>
      <c r="B10" t="s">
        <v>140</v>
      </c>
      <c r="C10" t="s">
        <v>126</v>
      </c>
      <c r="D10" t="s">
        <v>120</v>
      </c>
      <c r="E10" t="s">
        <v>88</v>
      </c>
      <c r="F10">
        <v>1</v>
      </c>
      <c r="G10" s="4">
        <v>20998</v>
      </c>
      <c r="O10" s="2"/>
    </row>
    <row r="11" spans="1:19" x14ac:dyDescent="0.3">
      <c r="A11" t="s">
        <v>10</v>
      </c>
      <c r="B11" t="s">
        <v>140</v>
      </c>
      <c r="C11" t="s">
        <v>127</v>
      </c>
      <c r="D11" t="s">
        <v>120</v>
      </c>
      <c r="E11" t="s">
        <v>88</v>
      </c>
      <c r="F11">
        <v>1</v>
      </c>
      <c r="G11" s="4">
        <v>12078</v>
      </c>
      <c r="H11" s="2"/>
      <c r="O11" s="4"/>
    </row>
    <row r="12" spans="1:19" x14ac:dyDescent="0.3">
      <c r="A12" t="s">
        <v>10</v>
      </c>
      <c r="B12" t="s">
        <v>140</v>
      </c>
      <c r="C12" t="s">
        <v>152</v>
      </c>
      <c r="D12" t="s">
        <v>120</v>
      </c>
      <c r="E12" t="s">
        <v>88</v>
      </c>
      <c r="F12">
        <v>2</v>
      </c>
      <c r="G12" s="4">
        <v>127401</v>
      </c>
    </row>
    <row r="13" spans="1:19" x14ac:dyDescent="0.3">
      <c r="A13" t="s">
        <v>10</v>
      </c>
      <c r="B13" t="s">
        <v>140</v>
      </c>
      <c r="C13" t="s">
        <v>151</v>
      </c>
      <c r="D13" t="s">
        <v>120</v>
      </c>
      <c r="E13" t="s">
        <v>88</v>
      </c>
      <c r="F13">
        <v>2</v>
      </c>
      <c r="G13" s="4">
        <v>40197</v>
      </c>
      <c r="O13" s="4"/>
      <c r="S13" s="4"/>
    </row>
    <row r="14" spans="1:19" x14ac:dyDescent="0.3">
      <c r="A14" t="s">
        <v>25</v>
      </c>
      <c r="B14" t="s">
        <v>140</v>
      </c>
      <c r="C14" t="s">
        <v>128</v>
      </c>
      <c r="D14" t="s">
        <v>120</v>
      </c>
      <c r="E14" t="s">
        <v>88</v>
      </c>
      <c r="F14">
        <v>1</v>
      </c>
      <c r="G14" s="4">
        <v>9111</v>
      </c>
      <c r="O14" s="4"/>
      <c r="S14" s="4"/>
    </row>
    <row r="15" spans="1:19" x14ac:dyDescent="0.3">
      <c r="A15" t="s">
        <v>25</v>
      </c>
      <c r="B15" t="s">
        <v>140</v>
      </c>
      <c r="C15" t="s">
        <v>129</v>
      </c>
      <c r="D15" t="s">
        <v>120</v>
      </c>
      <c r="E15" t="s">
        <v>88</v>
      </c>
      <c r="F15">
        <v>1</v>
      </c>
      <c r="G15" s="4">
        <v>12645</v>
      </c>
    </row>
    <row r="16" spans="1:19" x14ac:dyDescent="0.3">
      <c r="A16" t="s">
        <v>25</v>
      </c>
      <c r="B16" t="s">
        <v>140</v>
      </c>
      <c r="C16" t="s">
        <v>130</v>
      </c>
      <c r="D16" t="s">
        <v>120</v>
      </c>
      <c r="E16" t="s">
        <v>88</v>
      </c>
      <c r="F16">
        <v>1</v>
      </c>
      <c r="G16" s="4">
        <v>8277</v>
      </c>
    </row>
    <row r="17" spans="1:7" x14ac:dyDescent="0.3">
      <c r="A17" t="s">
        <v>25</v>
      </c>
      <c r="B17" t="s">
        <v>140</v>
      </c>
      <c r="C17" t="s">
        <v>131</v>
      </c>
      <c r="D17" t="s">
        <v>120</v>
      </c>
      <c r="E17" t="s">
        <v>88</v>
      </c>
      <c r="F17">
        <v>1</v>
      </c>
      <c r="G17" s="4">
        <v>8804</v>
      </c>
    </row>
    <row r="18" spans="1:7" x14ac:dyDescent="0.3">
      <c r="A18" t="s">
        <v>34</v>
      </c>
      <c r="B18" t="s">
        <v>140</v>
      </c>
      <c r="C18" t="s">
        <v>132</v>
      </c>
      <c r="D18" t="s">
        <v>120</v>
      </c>
      <c r="E18" t="s">
        <v>88</v>
      </c>
      <c r="F18">
        <v>1</v>
      </c>
      <c r="G18" s="4">
        <v>11610</v>
      </c>
    </row>
    <row r="19" spans="1:7" x14ac:dyDescent="0.3">
      <c r="A19" t="s">
        <v>34</v>
      </c>
      <c r="B19" t="s">
        <v>140</v>
      </c>
      <c r="C19" t="s">
        <v>133</v>
      </c>
      <c r="D19" t="s">
        <v>120</v>
      </c>
      <c r="E19" t="s">
        <v>88</v>
      </c>
      <c r="F19">
        <v>1</v>
      </c>
      <c r="G19" s="4">
        <v>6870</v>
      </c>
    </row>
    <row r="20" spans="1:7" x14ac:dyDescent="0.3">
      <c r="A20" t="s">
        <v>34</v>
      </c>
      <c r="B20" t="s">
        <v>140</v>
      </c>
      <c r="C20" t="s">
        <v>134</v>
      </c>
      <c r="D20" t="s">
        <v>120</v>
      </c>
      <c r="E20" t="s">
        <v>88</v>
      </c>
      <c r="F20">
        <v>1</v>
      </c>
      <c r="G20" s="4">
        <v>15000</v>
      </c>
    </row>
    <row r="21" spans="1:7" x14ac:dyDescent="0.3">
      <c r="A21" t="s">
        <v>34</v>
      </c>
      <c r="B21" t="s">
        <v>140</v>
      </c>
      <c r="C21" t="s">
        <v>135</v>
      </c>
      <c r="D21" t="s">
        <v>120</v>
      </c>
      <c r="E21" t="s">
        <v>88</v>
      </c>
      <c r="F21">
        <v>1</v>
      </c>
      <c r="G21" s="4">
        <v>9182</v>
      </c>
    </row>
    <row r="22" spans="1:7" x14ac:dyDescent="0.3">
      <c r="A22" t="s">
        <v>25</v>
      </c>
      <c r="B22" t="s">
        <v>43</v>
      </c>
      <c r="C22" t="s">
        <v>98</v>
      </c>
      <c r="D22" t="s">
        <v>120</v>
      </c>
      <c r="E22" t="s">
        <v>88</v>
      </c>
      <c r="F22">
        <v>1</v>
      </c>
      <c r="G22" s="4">
        <v>8870</v>
      </c>
    </row>
    <row r="23" spans="1:7" x14ac:dyDescent="0.3">
      <c r="A23" t="s">
        <v>25</v>
      </c>
      <c r="B23" t="s">
        <v>43</v>
      </c>
      <c r="C23" t="s">
        <v>101</v>
      </c>
      <c r="D23" t="s">
        <v>120</v>
      </c>
      <c r="E23" t="s">
        <v>88</v>
      </c>
      <c r="F23">
        <v>1</v>
      </c>
      <c r="G23" s="4">
        <v>7053</v>
      </c>
    </row>
    <row r="24" spans="1:7" x14ac:dyDescent="0.3">
      <c r="A24" t="s">
        <v>25</v>
      </c>
      <c r="B24" t="s">
        <v>43</v>
      </c>
      <c r="C24" t="s">
        <v>102</v>
      </c>
      <c r="D24" t="s">
        <v>120</v>
      </c>
      <c r="E24" t="s">
        <v>88</v>
      </c>
      <c r="F24">
        <v>1</v>
      </c>
      <c r="G24" s="4">
        <v>23377</v>
      </c>
    </row>
    <row r="25" spans="1:7" x14ac:dyDescent="0.3">
      <c r="A25" t="s">
        <v>25</v>
      </c>
      <c r="B25" t="s">
        <v>43</v>
      </c>
      <c r="C25" t="s">
        <v>103</v>
      </c>
      <c r="D25" t="s">
        <v>120</v>
      </c>
      <c r="E25" t="s">
        <v>88</v>
      </c>
      <c r="F25">
        <v>1</v>
      </c>
      <c r="G25" s="4">
        <v>7896</v>
      </c>
    </row>
    <row r="26" spans="1:7" x14ac:dyDescent="0.3">
      <c r="A26" t="s">
        <v>34</v>
      </c>
      <c r="B26" t="s">
        <v>43</v>
      </c>
      <c r="C26" t="s">
        <v>104</v>
      </c>
      <c r="D26" t="s">
        <v>120</v>
      </c>
      <c r="E26" t="s">
        <v>88</v>
      </c>
      <c r="F26">
        <v>1</v>
      </c>
      <c r="G26" s="4">
        <v>5171</v>
      </c>
    </row>
    <row r="27" spans="1:7" x14ac:dyDescent="0.3">
      <c r="A27" t="s">
        <v>34</v>
      </c>
      <c r="B27" t="s">
        <v>43</v>
      </c>
      <c r="C27" t="s">
        <v>105</v>
      </c>
      <c r="D27" t="s">
        <v>120</v>
      </c>
      <c r="E27" t="s">
        <v>88</v>
      </c>
      <c r="F27">
        <v>1</v>
      </c>
      <c r="G27" s="4">
        <v>6300</v>
      </c>
    </row>
    <row r="28" spans="1:7" x14ac:dyDescent="0.3">
      <c r="A28" t="s">
        <v>34</v>
      </c>
      <c r="B28" t="s">
        <v>43</v>
      </c>
      <c r="C28" t="s">
        <v>106</v>
      </c>
      <c r="D28" t="s">
        <v>120</v>
      </c>
      <c r="E28" t="s">
        <v>88</v>
      </c>
      <c r="F28">
        <v>1</v>
      </c>
      <c r="G28" s="4">
        <v>7008</v>
      </c>
    </row>
    <row r="29" spans="1:7" x14ac:dyDescent="0.3">
      <c r="A29" t="s">
        <v>34</v>
      </c>
      <c r="B29" t="s">
        <v>43</v>
      </c>
      <c r="C29" t="s">
        <v>107</v>
      </c>
      <c r="D29" t="s">
        <v>120</v>
      </c>
      <c r="E29" t="s">
        <v>88</v>
      </c>
      <c r="F29">
        <v>1</v>
      </c>
      <c r="G29" s="4">
        <v>7988</v>
      </c>
    </row>
    <row r="30" spans="1:7" x14ac:dyDescent="0.3">
      <c r="A30" t="s">
        <v>10</v>
      </c>
      <c r="B30" t="s">
        <v>43</v>
      </c>
      <c r="C30" t="s">
        <v>200</v>
      </c>
      <c r="D30" t="s">
        <v>120</v>
      </c>
      <c r="E30" t="s">
        <v>88</v>
      </c>
      <c r="F30">
        <v>2</v>
      </c>
      <c r="G30" s="4">
        <v>48818</v>
      </c>
    </row>
    <row r="31" spans="1:7" x14ac:dyDescent="0.3">
      <c r="A31" t="s">
        <v>10</v>
      </c>
      <c r="B31" t="s">
        <v>43</v>
      </c>
      <c r="C31" t="s">
        <v>201</v>
      </c>
      <c r="D31" t="s">
        <v>120</v>
      </c>
      <c r="E31" t="s">
        <v>88</v>
      </c>
      <c r="F31">
        <v>2</v>
      </c>
      <c r="G31" s="4">
        <v>28910</v>
      </c>
    </row>
    <row r="32" spans="1:7" x14ac:dyDescent="0.3">
      <c r="A32" t="s">
        <v>10</v>
      </c>
      <c r="B32" t="s">
        <v>43</v>
      </c>
      <c r="C32" t="s">
        <v>202</v>
      </c>
      <c r="D32" t="s">
        <v>120</v>
      </c>
      <c r="E32" t="s">
        <v>88</v>
      </c>
      <c r="F32">
        <v>2</v>
      </c>
      <c r="G32" s="4">
        <v>40748</v>
      </c>
    </row>
    <row r="33" spans="1:8" x14ac:dyDescent="0.3">
      <c r="A33" t="s">
        <v>15</v>
      </c>
      <c r="B33" t="s">
        <v>43</v>
      </c>
      <c r="C33" t="s">
        <v>203</v>
      </c>
      <c r="D33" t="s">
        <v>120</v>
      </c>
      <c r="E33" t="s">
        <v>88</v>
      </c>
      <c r="F33">
        <v>2</v>
      </c>
      <c r="G33" s="4">
        <v>173350</v>
      </c>
    </row>
    <row r="34" spans="1:8" x14ac:dyDescent="0.3">
      <c r="A34" t="s">
        <v>15</v>
      </c>
      <c r="B34" t="s">
        <v>43</v>
      </c>
      <c r="C34" t="s">
        <v>160</v>
      </c>
      <c r="D34" t="s">
        <v>120</v>
      </c>
      <c r="E34" t="s">
        <v>88</v>
      </c>
      <c r="F34">
        <v>2</v>
      </c>
      <c r="G34" s="4">
        <v>127533</v>
      </c>
    </row>
    <row r="35" spans="1:8" x14ac:dyDescent="0.3">
      <c r="A35" t="s">
        <v>15</v>
      </c>
      <c r="B35" t="s">
        <v>43</v>
      </c>
      <c r="C35" t="s">
        <v>161</v>
      </c>
      <c r="D35" t="s">
        <v>120</v>
      </c>
      <c r="E35" t="s">
        <v>88</v>
      </c>
      <c r="F35">
        <v>2</v>
      </c>
      <c r="G35" s="4">
        <v>75068</v>
      </c>
    </row>
    <row r="36" spans="1:8" x14ac:dyDescent="0.3">
      <c r="A36" t="s">
        <v>25</v>
      </c>
      <c r="B36" t="s">
        <v>140</v>
      </c>
      <c r="C36" t="s">
        <v>136</v>
      </c>
      <c r="D36" t="s">
        <v>147</v>
      </c>
      <c r="E36" t="s">
        <v>88</v>
      </c>
      <c r="F36">
        <v>1</v>
      </c>
      <c r="G36" s="4">
        <v>572313</v>
      </c>
    </row>
    <row r="37" spans="1:8" x14ac:dyDescent="0.3">
      <c r="A37" t="s">
        <v>25</v>
      </c>
      <c r="B37" t="s">
        <v>140</v>
      </c>
      <c r="C37" t="s">
        <v>137</v>
      </c>
      <c r="D37" t="s">
        <v>147</v>
      </c>
      <c r="E37" t="s">
        <v>88</v>
      </c>
      <c r="F37">
        <v>1</v>
      </c>
      <c r="G37" s="4">
        <v>749805</v>
      </c>
    </row>
    <row r="38" spans="1:8" x14ac:dyDescent="0.3">
      <c r="A38" t="s">
        <v>34</v>
      </c>
      <c r="B38" t="s">
        <v>140</v>
      </c>
      <c r="C38" t="s">
        <v>138</v>
      </c>
      <c r="D38" t="s">
        <v>147</v>
      </c>
      <c r="E38" t="s">
        <v>88</v>
      </c>
      <c r="F38">
        <v>1</v>
      </c>
      <c r="G38" s="4">
        <v>694220</v>
      </c>
    </row>
    <row r="39" spans="1:8" x14ac:dyDescent="0.3">
      <c r="A39" t="s">
        <v>34</v>
      </c>
      <c r="B39" t="s">
        <v>140</v>
      </c>
      <c r="C39" t="s">
        <v>139</v>
      </c>
      <c r="D39" t="s">
        <v>147</v>
      </c>
      <c r="E39" t="s">
        <v>88</v>
      </c>
      <c r="F39">
        <v>1</v>
      </c>
      <c r="G39" s="4">
        <v>625027</v>
      </c>
    </row>
    <row r="40" spans="1:8" x14ac:dyDescent="0.3">
      <c r="A40" t="s">
        <v>20</v>
      </c>
      <c r="B40" t="s">
        <v>140</v>
      </c>
      <c r="C40" t="s">
        <v>122</v>
      </c>
      <c r="D40" t="s">
        <v>120</v>
      </c>
      <c r="E40" t="s">
        <v>97</v>
      </c>
      <c r="F40">
        <v>1</v>
      </c>
      <c r="G40" s="4">
        <v>142562</v>
      </c>
      <c r="H40">
        <f>AVERAGE(G40:G73)</f>
        <v>325935.70588235295</v>
      </c>
    </row>
    <row r="41" spans="1:8" x14ac:dyDescent="0.3">
      <c r="A41" t="s">
        <v>20</v>
      </c>
      <c r="B41" t="s">
        <v>140</v>
      </c>
      <c r="C41" t="s">
        <v>123</v>
      </c>
      <c r="D41" t="s">
        <v>120</v>
      </c>
      <c r="E41" t="s">
        <v>97</v>
      </c>
      <c r="F41">
        <v>1</v>
      </c>
      <c r="G41" s="4">
        <v>135408</v>
      </c>
    </row>
    <row r="42" spans="1:8" x14ac:dyDescent="0.3">
      <c r="A42" t="s">
        <v>20</v>
      </c>
      <c r="B42" t="s">
        <v>140</v>
      </c>
      <c r="C42" t="s">
        <v>155</v>
      </c>
      <c r="D42" t="s">
        <v>120</v>
      </c>
      <c r="E42" t="s">
        <v>97</v>
      </c>
      <c r="F42">
        <v>2</v>
      </c>
      <c r="G42" s="4">
        <v>1375494</v>
      </c>
      <c r="H42" s="8">
        <v>325935.70588235301</v>
      </c>
    </row>
    <row r="43" spans="1:8" x14ac:dyDescent="0.3">
      <c r="A43" t="s">
        <v>20</v>
      </c>
      <c r="B43" t="s">
        <v>140</v>
      </c>
      <c r="C43" t="s">
        <v>156</v>
      </c>
      <c r="D43" t="s">
        <v>120</v>
      </c>
      <c r="E43" t="s">
        <v>97</v>
      </c>
      <c r="F43">
        <v>2</v>
      </c>
      <c r="G43" s="4">
        <v>482015</v>
      </c>
    </row>
    <row r="44" spans="1:8" x14ac:dyDescent="0.3">
      <c r="A44" t="s">
        <v>15</v>
      </c>
      <c r="B44" t="s">
        <v>140</v>
      </c>
      <c r="C44" t="s">
        <v>124</v>
      </c>
      <c r="D44" t="s">
        <v>120</v>
      </c>
      <c r="E44" t="s">
        <v>97</v>
      </c>
      <c r="F44">
        <v>1</v>
      </c>
      <c r="G44" s="4">
        <v>84999</v>
      </c>
    </row>
    <row r="45" spans="1:8" x14ac:dyDescent="0.3">
      <c r="A45" t="s">
        <v>15</v>
      </c>
      <c r="B45" t="s">
        <v>140</v>
      </c>
      <c r="C45" t="s">
        <v>125</v>
      </c>
      <c r="D45" t="s">
        <v>120</v>
      </c>
      <c r="E45" t="s">
        <v>97</v>
      </c>
      <c r="F45">
        <v>1</v>
      </c>
      <c r="G45" s="4">
        <v>119681</v>
      </c>
    </row>
    <row r="46" spans="1:8" x14ac:dyDescent="0.3">
      <c r="A46" t="s">
        <v>15</v>
      </c>
      <c r="B46" t="s">
        <v>140</v>
      </c>
      <c r="C46" t="s">
        <v>153</v>
      </c>
      <c r="D46" t="s">
        <v>120</v>
      </c>
      <c r="E46" t="s">
        <v>97</v>
      </c>
      <c r="F46">
        <v>2</v>
      </c>
      <c r="G46" s="4">
        <v>773951</v>
      </c>
    </row>
    <row r="47" spans="1:8" x14ac:dyDescent="0.3">
      <c r="A47" t="s">
        <v>15</v>
      </c>
      <c r="B47" t="s">
        <v>140</v>
      </c>
      <c r="C47" t="s">
        <v>154</v>
      </c>
      <c r="D47" t="s">
        <v>120</v>
      </c>
      <c r="E47" t="s">
        <v>97</v>
      </c>
      <c r="F47">
        <v>2</v>
      </c>
      <c r="G47" s="4">
        <v>447084</v>
      </c>
    </row>
    <row r="48" spans="1:8" x14ac:dyDescent="0.3">
      <c r="A48" t="s">
        <v>10</v>
      </c>
      <c r="B48" t="s">
        <v>140</v>
      </c>
      <c r="C48" t="s">
        <v>126</v>
      </c>
      <c r="D48" t="s">
        <v>120</v>
      </c>
      <c r="E48" t="s">
        <v>97</v>
      </c>
      <c r="F48">
        <v>1</v>
      </c>
      <c r="G48" s="4">
        <v>260329</v>
      </c>
    </row>
    <row r="49" spans="1:7" x14ac:dyDescent="0.3">
      <c r="A49" t="s">
        <v>10</v>
      </c>
      <c r="B49" t="s">
        <v>140</v>
      </c>
      <c r="C49" t="s">
        <v>127</v>
      </c>
      <c r="D49" t="s">
        <v>120</v>
      </c>
      <c r="E49" t="s">
        <v>97</v>
      </c>
      <c r="F49">
        <v>1</v>
      </c>
      <c r="G49" s="4">
        <v>189845</v>
      </c>
    </row>
    <row r="50" spans="1:7" x14ac:dyDescent="0.3">
      <c r="A50" t="s">
        <v>10</v>
      </c>
      <c r="B50" t="s">
        <v>140</v>
      </c>
      <c r="C50" t="s">
        <v>152</v>
      </c>
      <c r="D50" t="s">
        <v>120</v>
      </c>
      <c r="E50" t="s">
        <v>97</v>
      </c>
      <c r="F50">
        <v>2</v>
      </c>
      <c r="G50" s="4">
        <v>867076</v>
      </c>
    </row>
    <row r="51" spans="1:7" x14ac:dyDescent="0.3">
      <c r="A51" t="s">
        <v>10</v>
      </c>
      <c r="B51" t="s">
        <v>140</v>
      </c>
      <c r="C51" t="s">
        <v>151</v>
      </c>
      <c r="D51" t="s">
        <v>120</v>
      </c>
      <c r="E51" t="s">
        <v>97</v>
      </c>
      <c r="F51">
        <v>2</v>
      </c>
      <c r="G51" s="4">
        <v>425498</v>
      </c>
    </row>
    <row r="52" spans="1:7" x14ac:dyDescent="0.3">
      <c r="A52" t="s">
        <v>25</v>
      </c>
      <c r="B52" t="s">
        <v>140</v>
      </c>
      <c r="C52" t="s">
        <v>128</v>
      </c>
      <c r="D52" t="s">
        <v>120</v>
      </c>
      <c r="E52" t="s">
        <v>97</v>
      </c>
      <c r="F52">
        <v>1</v>
      </c>
      <c r="G52" s="4">
        <v>139765</v>
      </c>
    </row>
    <row r="53" spans="1:7" x14ac:dyDescent="0.3">
      <c r="A53" t="s">
        <v>25</v>
      </c>
      <c r="B53" t="s">
        <v>140</v>
      </c>
      <c r="C53" t="s">
        <v>129</v>
      </c>
      <c r="D53" t="s">
        <v>120</v>
      </c>
      <c r="E53" t="s">
        <v>97</v>
      </c>
      <c r="F53">
        <v>1</v>
      </c>
      <c r="G53" s="4">
        <v>188582</v>
      </c>
    </row>
    <row r="54" spans="1:7" x14ac:dyDescent="0.3">
      <c r="A54" t="s">
        <v>25</v>
      </c>
      <c r="B54" t="s">
        <v>140</v>
      </c>
      <c r="C54" t="s">
        <v>130</v>
      </c>
      <c r="D54" t="s">
        <v>120</v>
      </c>
      <c r="E54" t="s">
        <v>97</v>
      </c>
      <c r="F54">
        <v>1</v>
      </c>
      <c r="G54" s="4">
        <v>151981</v>
      </c>
    </row>
    <row r="55" spans="1:7" x14ac:dyDescent="0.3">
      <c r="A55" t="s">
        <v>25</v>
      </c>
      <c r="B55" t="s">
        <v>140</v>
      </c>
      <c r="C55" t="s">
        <v>131</v>
      </c>
      <c r="D55" t="s">
        <v>120</v>
      </c>
      <c r="E55" t="s">
        <v>97</v>
      </c>
      <c r="F55">
        <v>1</v>
      </c>
      <c r="G55" s="4">
        <v>137452</v>
      </c>
    </row>
    <row r="56" spans="1:7" x14ac:dyDescent="0.3">
      <c r="A56" t="s">
        <v>34</v>
      </c>
      <c r="B56" t="s">
        <v>140</v>
      </c>
      <c r="C56" t="s">
        <v>132</v>
      </c>
      <c r="D56" t="s">
        <v>120</v>
      </c>
      <c r="E56" t="s">
        <v>97</v>
      </c>
      <c r="F56">
        <v>1</v>
      </c>
      <c r="G56" s="4">
        <v>131527</v>
      </c>
    </row>
    <row r="57" spans="1:7" x14ac:dyDescent="0.3">
      <c r="A57" t="s">
        <v>34</v>
      </c>
      <c r="B57" t="s">
        <v>140</v>
      </c>
      <c r="C57" t="s">
        <v>133</v>
      </c>
      <c r="D57" t="s">
        <v>120</v>
      </c>
      <c r="E57" t="s">
        <v>97</v>
      </c>
      <c r="F57">
        <v>1</v>
      </c>
      <c r="G57" s="4">
        <v>60306</v>
      </c>
    </row>
    <row r="58" spans="1:7" x14ac:dyDescent="0.3">
      <c r="A58" t="s">
        <v>34</v>
      </c>
      <c r="B58" t="s">
        <v>140</v>
      </c>
      <c r="C58" t="s">
        <v>134</v>
      </c>
      <c r="D58" t="s">
        <v>120</v>
      </c>
      <c r="E58" t="s">
        <v>97</v>
      </c>
      <c r="F58">
        <v>1</v>
      </c>
      <c r="G58" s="4">
        <v>218252</v>
      </c>
    </row>
    <row r="59" spans="1:7" x14ac:dyDescent="0.3">
      <c r="A59" t="s">
        <v>34</v>
      </c>
      <c r="B59" t="s">
        <v>140</v>
      </c>
      <c r="C59" t="s">
        <v>135</v>
      </c>
      <c r="D59" t="s">
        <v>120</v>
      </c>
      <c r="E59" t="s">
        <v>97</v>
      </c>
      <c r="F59">
        <v>1</v>
      </c>
      <c r="G59" s="4">
        <v>132509</v>
      </c>
    </row>
    <row r="60" spans="1:7" x14ac:dyDescent="0.3">
      <c r="A60" t="s">
        <v>25</v>
      </c>
      <c r="B60" t="s">
        <v>43</v>
      </c>
      <c r="C60" t="s">
        <v>98</v>
      </c>
      <c r="D60" t="s">
        <v>120</v>
      </c>
      <c r="E60" t="s">
        <v>97</v>
      </c>
      <c r="F60">
        <v>1</v>
      </c>
      <c r="G60" s="4">
        <v>163157</v>
      </c>
    </row>
    <row r="61" spans="1:7" x14ac:dyDescent="0.3">
      <c r="A61" t="s">
        <v>25</v>
      </c>
      <c r="B61" t="s">
        <v>43</v>
      </c>
      <c r="C61" t="s">
        <v>101</v>
      </c>
      <c r="D61" t="s">
        <v>120</v>
      </c>
      <c r="E61" t="s">
        <v>97</v>
      </c>
      <c r="F61">
        <v>1</v>
      </c>
      <c r="G61" s="4">
        <v>77454</v>
      </c>
    </row>
    <row r="62" spans="1:7" x14ac:dyDescent="0.3">
      <c r="A62" t="s">
        <v>25</v>
      </c>
      <c r="B62" t="s">
        <v>43</v>
      </c>
      <c r="C62" t="s">
        <v>102</v>
      </c>
      <c r="D62" t="s">
        <v>120</v>
      </c>
      <c r="E62" t="s">
        <v>97</v>
      </c>
      <c r="F62">
        <v>1</v>
      </c>
      <c r="G62" s="4">
        <v>281600</v>
      </c>
    </row>
    <row r="63" spans="1:7" x14ac:dyDescent="0.3">
      <c r="A63" t="s">
        <v>25</v>
      </c>
      <c r="B63" t="s">
        <v>43</v>
      </c>
      <c r="C63" t="s">
        <v>103</v>
      </c>
      <c r="D63" t="s">
        <v>120</v>
      </c>
      <c r="E63" t="s">
        <v>97</v>
      </c>
      <c r="F63">
        <v>1</v>
      </c>
      <c r="G63" s="4">
        <v>173180</v>
      </c>
    </row>
    <row r="64" spans="1:7" x14ac:dyDescent="0.3">
      <c r="A64" t="s">
        <v>34</v>
      </c>
      <c r="B64" t="s">
        <v>43</v>
      </c>
      <c r="C64" t="s">
        <v>104</v>
      </c>
      <c r="D64" t="s">
        <v>120</v>
      </c>
      <c r="E64" t="s">
        <v>97</v>
      </c>
      <c r="F64">
        <v>1</v>
      </c>
      <c r="G64" s="4">
        <v>39001</v>
      </c>
    </row>
    <row r="65" spans="1:9" x14ac:dyDescent="0.3">
      <c r="A65" t="s">
        <v>34</v>
      </c>
      <c r="B65" t="s">
        <v>43</v>
      </c>
      <c r="C65" t="s">
        <v>105</v>
      </c>
      <c r="D65" t="s">
        <v>120</v>
      </c>
      <c r="E65" t="s">
        <v>97</v>
      </c>
      <c r="F65">
        <v>1</v>
      </c>
      <c r="G65" s="4">
        <v>39856</v>
      </c>
    </row>
    <row r="66" spans="1:9" x14ac:dyDescent="0.3">
      <c r="A66" t="s">
        <v>34</v>
      </c>
      <c r="B66" t="s">
        <v>43</v>
      </c>
      <c r="C66" t="s">
        <v>106</v>
      </c>
      <c r="D66" t="s">
        <v>120</v>
      </c>
      <c r="E66" t="s">
        <v>97</v>
      </c>
      <c r="F66">
        <v>1</v>
      </c>
      <c r="G66" s="4">
        <v>77400</v>
      </c>
    </row>
    <row r="67" spans="1:9" x14ac:dyDescent="0.3">
      <c r="A67" t="s">
        <v>34</v>
      </c>
      <c r="B67" t="s">
        <v>43</v>
      </c>
      <c r="C67" t="s">
        <v>107</v>
      </c>
      <c r="D67" t="s">
        <v>120</v>
      </c>
      <c r="E67" t="s">
        <v>97</v>
      </c>
      <c r="F67">
        <v>1</v>
      </c>
      <c r="G67" s="4">
        <v>122952</v>
      </c>
    </row>
    <row r="68" spans="1:9" x14ac:dyDescent="0.3">
      <c r="A68" t="s">
        <v>10</v>
      </c>
      <c r="B68" t="s">
        <v>43</v>
      </c>
      <c r="C68" t="s">
        <v>200</v>
      </c>
      <c r="D68" t="s">
        <v>120</v>
      </c>
      <c r="E68" t="s">
        <v>97</v>
      </c>
      <c r="F68">
        <v>2</v>
      </c>
      <c r="G68" s="4">
        <v>372534</v>
      </c>
    </row>
    <row r="69" spans="1:9" x14ac:dyDescent="0.3">
      <c r="A69" t="s">
        <v>10</v>
      </c>
      <c r="B69" t="s">
        <v>43</v>
      </c>
      <c r="C69" t="s">
        <v>201</v>
      </c>
      <c r="D69" t="s">
        <v>120</v>
      </c>
      <c r="E69" t="s">
        <v>97</v>
      </c>
      <c r="F69">
        <v>2</v>
      </c>
      <c r="G69" s="4">
        <v>265531</v>
      </c>
    </row>
    <row r="70" spans="1:9" x14ac:dyDescent="0.3">
      <c r="A70" t="s">
        <v>10</v>
      </c>
      <c r="B70" t="s">
        <v>43</v>
      </c>
      <c r="C70" t="s">
        <v>202</v>
      </c>
      <c r="D70" t="s">
        <v>120</v>
      </c>
      <c r="E70" t="s">
        <v>97</v>
      </c>
      <c r="F70">
        <v>2</v>
      </c>
      <c r="G70" s="4">
        <v>314997</v>
      </c>
    </row>
    <row r="71" spans="1:9" x14ac:dyDescent="0.3">
      <c r="A71" t="s">
        <v>15</v>
      </c>
      <c r="B71" t="s">
        <v>43</v>
      </c>
      <c r="C71" t="s">
        <v>203</v>
      </c>
      <c r="D71" t="s">
        <v>120</v>
      </c>
      <c r="E71" t="s">
        <v>97</v>
      </c>
      <c r="F71">
        <v>2</v>
      </c>
      <c r="G71" s="4">
        <v>1208985</v>
      </c>
    </row>
    <row r="72" spans="1:9" x14ac:dyDescent="0.3">
      <c r="A72" t="s">
        <v>15</v>
      </c>
      <c r="B72" t="s">
        <v>43</v>
      </c>
      <c r="C72" t="s">
        <v>160</v>
      </c>
      <c r="D72" t="s">
        <v>120</v>
      </c>
      <c r="E72" t="s">
        <v>97</v>
      </c>
      <c r="F72">
        <v>2</v>
      </c>
      <c r="G72" s="4">
        <v>859430</v>
      </c>
    </row>
    <row r="73" spans="1:9" x14ac:dyDescent="0.3">
      <c r="A73" t="s">
        <v>15</v>
      </c>
      <c r="B73" t="s">
        <v>43</v>
      </c>
      <c r="C73" t="s">
        <v>161</v>
      </c>
      <c r="D73" t="s">
        <v>120</v>
      </c>
      <c r="E73" t="s">
        <v>97</v>
      </c>
      <c r="F73">
        <v>2</v>
      </c>
      <c r="G73" s="4">
        <v>621421</v>
      </c>
    </row>
    <row r="74" spans="1:9" x14ac:dyDescent="0.3">
      <c r="A74" t="s">
        <v>25</v>
      </c>
      <c r="B74" t="s">
        <v>140</v>
      </c>
      <c r="C74" t="s">
        <v>136</v>
      </c>
      <c r="D74" t="s">
        <v>147</v>
      </c>
      <c r="E74" t="s">
        <v>97</v>
      </c>
      <c r="F74">
        <v>1</v>
      </c>
      <c r="G74" s="4">
        <v>5472479</v>
      </c>
    </row>
    <row r="75" spans="1:9" x14ac:dyDescent="0.3">
      <c r="A75" t="s">
        <v>25</v>
      </c>
      <c r="B75" t="s">
        <v>140</v>
      </c>
      <c r="C75" t="s">
        <v>137</v>
      </c>
      <c r="D75" t="s">
        <v>147</v>
      </c>
      <c r="E75" t="s">
        <v>97</v>
      </c>
      <c r="F75">
        <v>1</v>
      </c>
      <c r="G75" s="4">
        <v>5197568</v>
      </c>
    </row>
    <row r="76" spans="1:9" x14ac:dyDescent="0.3">
      <c r="A76" t="s">
        <v>34</v>
      </c>
      <c r="B76" t="s">
        <v>140</v>
      </c>
      <c r="C76" t="s">
        <v>138</v>
      </c>
      <c r="D76" t="s">
        <v>147</v>
      </c>
      <c r="E76" t="s">
        <v>97</v>
      </c>
      <c r="F76">
        <v>1</v>
      </c>
      <c r="G76" s="4">
        <v>4981193</v>
      </c>
    </row>
    <row r="77" spans="1:9" x14ac:dyDescent="0.3">
      <c r="A77" t="s">
        <v>34</v>
      </c>
      <c r="B77" t="s">
        <v>140</v>
      </c>
      <c r="C77" t="s">
        <v>139</v>
      </c>
      <c r="D77" t="s">
        <v>147</v>
      </c>
      <c r="E77" t="s">
        <v>97</v>
      </c>
      <c r="F77">
        <v>1</v>
      </c>
      <c r="G77" s="4">
        <v>4441194</v>
      </c>
    </row>
    <row r="78" spans="1:9" x14ac:dyDescent="0.3">
      <c r="A78" t="s">
        <v>20</v>
      </c>
      <c r="B78" t="s">
        <v>140</v>
      </c>
      <c r="C78" t="s">
        <v>122</v>
      </c>
      <c r="D78" t="s">
        <v>120</v>
      </c>
      <c r="E78" t="s">
        <v>142</v>
      </c>
      <c r="F78">
        <v>1</v>
      </c>
      <c r="G78" s="4">
        <v>333885</v>
      </c>
      <c r="H78">
        <f>AVERAGE(G78:G111)</f>
        <v>618217.73529411759</v>
      </c>
    </row>
    <row r="79" spans="1:9" x14ac:dyDescent="0.3">
      <c r="A79" t="s">
        <v>20</v>
      </c>
      <c r="B79" t="s">
        <v>140</v>
      </c>
      <c r="C79" t="s">
        <v>123</v>
      </c>
      <c r="D79" t="s">
        <v>120</v>
      </c>
      <c r="E79" t="s">
        <v>142</v>
      </c>
      <c r="F79">
        <v>1</v>
      </c>
      <c r="G79" s="4">
        <v>359164</v>
      </c>
    </row>
    <row r="80" spans="1:9" x14ac:dyDescent="0.3">
      <c r="A80" t="s">
        <v>20</v>
      </c>
      <c r="B80" t="s">
        <v>140</v>
      </c>
      <c r="C80" t="s">
        <v>155</v>
      </c>
      <c r="D80" t="s">
        <v>120</v>
      </c>
      <c r="E80" t="s">
        <v>142</v>
      </c>
      <c r="F80">
        <v>2</v>
      </c>
      <c r="G80" s="4">
        <v>1832563</v>
      </c>
      <c r="H80" s="8">
        <v>618217.74</v>
      </c>
      <c r="I80" s="8">
        <f>618217.74/2</f>
        <v>309108.87</v>
      </c>
    </row>
    <row r="81" spans="1:7" x14ac:dyDescent="0.3">
      <c r="A81" t="s">
        <v>20</v>
      </c>
      <c r="B81" t="s">
        <v>140</v>
      </c>
      <c r="C81" t="s">
        <v>156</v>
      </c>
      <c r="D81" t="s">
        <v>120</v>
      </c>
      <c r="E81" t="s">
        <v>142</v>
      </c>
      <c r="F81">
        <v>2</v>
      </c>
      <c r="G81" s="4">
        <v>846822</v>
      </c>
    </row>
    <row r="82" spans="1:7" x14ac:dyDescent="0.3">
      <c r="A82" t="s">
        <v>15</v>
      </c>
      <c r="B82" t="s">
        <v>140</v>
      </c>
      <c r="C82" t="s">
        <v>124</v>
      </c>
      <c r="D82" t="s">
        <v>120</v>
      </c>
      <c r="E82" t="s">
        <v>142</v>
      </c>
      <c r="F82">
        <v>1</v>
      </c>
      <c r="G82" s="4">
        <v>279681</v>
      </c>
    </row>
    <row r="83" spans="1:7" x14ac:dyDescent="0.3">
      <c r="A83" t="s">
        <v>15</v>
      </c>
      <c r="B83" t="s">
        <v>140</v>
      </c>
      <c r="C83" t="s">
        <v>125</v>
      </c>
      <c r="D83" t="s">
        <v>120</v>
      </c>
      <c r="E83" t="s">
        <v>142</v>
      </c>
      <c r="F83">
        <v>1</v>
      </c>
      <c r="G83" s="4">
        <v>326715</v>
      </c>
    </row>
    <row r="84" spans="1:7" x14ac:dyDescent="0.3">
      <c r="A84" t="s">
        <v>15</v>
      </c>
      <c r="B84" t="s">
        <v>140</v>
      </c>
      <c r="C84" t="s">
        <v>153</v>
      </c>
      <c r="D84" t="s">
        <v>120</v>
      </c>
      <c r="E84" t="s">
        <v>142</v>
      </c>
      <c r="F84">
        <v>2</v>
      </c>
      <c r="G84" s="4">
        <v>1137837</v>
      </c>
    </row>
    <row r="85" spans="1:7" x14ac:dyDescent="0.3">
      <c r="A85" t="s">
        <v>15</v>
      </c>
      <c r="B85" t="s">
        <v>140</v>
      </c>
      <c r="C85" t="s">
        <v>154</v>
      </c>
      <c r="D85" t="s">
        <v>120</v>
      </c>
      <c r="E85" t="s">
        <v>142</v>
      </c>
      <c r="F85">
        <v>2</v>
      </c>
      <c r="G85" s="4">
        <v>850473</v>
      </c>
    </row>
    <row r="86" spans="1:7" x14ac:dyDescent="0.3">
      <c r="A86" t="s">
        <v>10</v>
      </c>
      <c r="B86" t="s">
        <v>140</v>
      </c>
      <c r="C86" t="s">
        <v>126</v>
      </c>
      <c r="D86" t="s">
        <v>120</v>
      </c>
      <c r="E86" t="s">
        <v>142</v>
      </c>
      <c r="F86">
        <v>1</v>
      </c>
      <c r="G86" s="4">
        <v>502163</v>
      </c>
    </row>
    <row r="87" spans="1:7" x14ac:dyDescent="0.3">
      <c r="A87" t="s">
        <v>10</v>
      </c>
      <c r="B87" t="s">
        <v>140</v>
      </c>
      <c r="C87" t="s">
        <v>127</v>
      </c>
      <c r="D87" t="s">
        <v>120</v>
      </c>
      <c r="E87" t="s">
        <v>142</v>
      </c>
      <c r="F87">
        <v>1</v>
      </c>
      <c r="G87" s="4">
        <v>448196</v>
      </c>
    </row>
    <row r="88" spans="1:7" x14ac:dyDescent="0.3">
      <c r="A88" t="s">
        <v>10</v>
      </c>
      <c r="B88" t="s">
        <v>140</v>
      </c>
      <c r="C88" t="s">
        <v>152</v>
      </c>
      <c r="D88" t="s">
        <v>120</v>
      </c>
      <c r="E88" t="s">
        <v>142</v>
      </c>
      <c r="F88">
        <v>2</v>
      </c>
      <c r="G88" s="4">
        <v>1281103</v>
      </c>
    </row>
    <row r="89" spans="1:7" x14ac:dyDescent="0.3">
      <c r="A89" t="s">
        <v>10</v>
      </c>
      <c r="B89" t="s">
        <v>140</v>
      </c>
      <c r="C89" t="s">
        <v>151</v>
      </c>
      <c r="D89" t="s">
        <v>120</v>
      </c>
      <c r="E89" t="s">
        <v>142</v>
      </c>
      <c r="F89">
        <v>2</v>
      </c>
      <c r="G89" s="4">
        <v>729032</v>
      </c>
    </row>
    <row r="90" spans="1:7" x14ac:dyDescent="0.3">
      <c r="A90" t="s">
        <v>25</v>
      </c>
      <c r="B90" t="s">
        <v>140</v>
      </c>
      <c r="C90" t="s">
        <v>128</v>
      </c>
      <c r="D90" t="s">
        <v>120</v>
      </c>
      <c r="E90" t="s">
        <v>142</v>
      </c>
      <c r="F90">
        <v>1</v>
      </c>
      <c r="G90" s="4">
        <v>384093</v>
      </c>
    </row>
    <row r="91" spans="1:7" x14ac:dyDescent="0.3">
      <c r="A91" t="s">
        <v>25</v>
      </c>
      <c r="B91" t="s">
        <v>140</v>
      </c>
      <c r="C91" t="s">
        <v>129</v>
      </c>
      <c r="D91" t="s">
        <v>120</v>
      </c>
      <c r="E91" t="s">
        <v>142</v>
      </c>
      <c r="F91">
        <v>1</v>
      </c>
      <c r="G91" s="4">
        <v>476717</v>
      </c>
    </row>
    <row r="92" spans="1:7" x14ac:dyDescent="0.3">
      <c r="A92" t="s">
        <v>25</v>
      </c>
      <c r="B92" t="s">
        <v>140</v>
      </c>
      <c r="C92" t="s">
        <v>130</v>
      </c>
      <c r="D92" t="s">
        <v>120</v>
      </c>
      <c r="E92" t="s">
        <v>142</v>
      </c>
      <c r="F92">
        <v>1</v>
      </c>
      <c r="G92" s="4">
        <v>384860</v>
      </c>
    </row>
    <row r="93" spans="1:7" x14ac:dyDescent="0.3">
      <c r="A93" t="s">
        <v>25</v>
      </c>
      <c r="B93" t="s">
        <v>140</v>
      </c>
      <c r="C93" t="s">
        <v>131</v>
      </c>
      <c r="D93" t="s">
        <v>120</v>
      </c>
      <c r="E93" t="s">
        <v>142</v>
      </c>
      <c r="F93">
        <v>1</v>
      </c>
      <c r="G93" s="4">
        <v>381274</v>
      </c>
    </row>
    <row r="94" spans="1:7" x14ac:dyDescent="0.3">
      <c r="A94" t="s">
        <v>34</v>
      </c>
      <c r="B94" t="s">
        <v>140</v>
      </c>
      <c r="C94" t="s">
        <v>132</v>
      </c>
      <c r="D94" t="s">
        <v>120</v>
      </c>
      <c r="E94" t="s">
        <v>142</v>
      </c>
      <c r="F94">
        <v>1</v>
      </c>
      <c r="G94" s="4">
        <v>393720</v>
      </c>
    </row>
    <row r="95" spans="1:7" x14ac:dyDescent="0.3">
      <c r="A95" t="s">
        <v>34</v>
      </c>
      <c r="B95" t="s">
        <v>140</v>
      </c>
      <c r="C95" t="s">
        <v>133</v>
      </c>
      <c r="D95" t="s">
        <v>120</v>
      </c>
      <c r="E95" t="s">
        <v>142</v>
      </c>
      <c r="F95">
        <v>1</v>
      </c>
      <c r="G95" s="4">
        <v>266950</v>
      </c>
    </row>
    <row r="96" spans="1:7" x14ac:dyDescent="0.3">
      <c r="A96" t="s">
        <v>34</v>
      </c>
      <c r="B96" t="s">
        <v>140</v>
      </c>
      <c r="C96" t="s">
        <v>134</v>
      </c>
      <c r="D96" t="s">
        <v>120</v>
      </c>
      <c r="E96" t="s">
        <v>142</v>
      </c>
      <c r="F96">
        <v>1</v>
      </c>
      <c r="G96" s="4">
        <v>513641</v>
      </c>
    </row>
    <row r="97" spans="1:7" x14ac:dyDescent="0.3">
      <c r="A97" t="s">
        <v>34</v>
      </c>
      <c r="B97" t="s">
        <v>140</v>
      </c>
      <c r="C97" t="s">
        <v>135</v>
      </c>
      <c r="D97" t="s">
        <v>120</v>
      </c>
      <c r="E97" t="s">
        <v>142</v>
      </c>
      <c r="F97">
        <v>1</v>
      </c>
      <c r="G97" s="4">
        <v>381845</v>
      </c>
    </row>
    <row r="98" spans="1:7" x14ac:dyDescent="0.3">
      <c r="A98" t="s">
        <v>25</v>
      </c>
      <c r="B98" t="s">
        <v>43</v>
      </c>
      <c r="C98" t="s">
        <v>98</v>
      </c>
      <c r="D98" t="s">
        <v>120</v>
      </c>
      <c r="E98" t="s">
        <v>142</v>
      </c>
      <c r="F98">
        <v>1</v>
      </c>
      <c r="G98" s="4">
        <v>416837</v>
      </c>
    </row>
    <row r="99" spans="1:7" x14ac:dyDescent="0.3">
      <c r="A99" t="s">
        <v>25</v>
      </c>
      <c r="B99" t="s">
        <v>43</v>
      </c>
      <c r="C99" t="s">
        <v>101</v>
      </c>
      <c r="D99" t="s">
        <v>120</v>
      </c>
      <c r="E99" t="s">
        <v>142</v>
      </c>
      <c r="F99">
        <v>1</v>
      </c>
      <c r="G99" s="4">
        <v>304301</v>
      </c>
    </row>
    <row r="100" spans="1:7" x14ac:dyDescent="0.3">
      <c r="A100" t="s">
        <v>25</v>
      </c>
      <c r="B100" t="s">
        <v>43</v>
      </c>
      <c r="C100" t="s">
        <v>102</v>
      </c>
      <c r="D100" t="s">
        <v>120</v>
      </c>
      <c r="E100" t="s">
        <v>142</v>
      </c>
      <c r="F100">
        <v>1</v>
      </c>
      <c r="G100" s="4">
        <v>706695</v>
      </c>
    </row>
    <row r="101" spans="1:7" x14ac:dyDescent="0.3">
      <c r="A101" t="s">
        <v>25</v>
      </c>
      <c r="B101" t="s">
        <v>43</v>
      </c>
      <c r="C101" t="s">
        <v>103</v>
      </c>
      <c r="D101" t="s">
        <v>120</v>
      </c>
      <c r="E101" t="s">
        <v>142</v>
      </c>
      <c r="F101">
        <v>1</v>
      </c>
      <c r="G101" s="4">
        <v>398539</v>
      </c>
    </row>
    <row r="102" spans="1:7" x14ac:dyDescent="0.3">
      <c r="A102" t="s">
        <v>34</v>
      </c>
      <c r="B102" t="s">
        <v>43</v>
      </c>
      <c r="C102" t="s">
        <v>104</v>
      </c>
      <c r="D102" t="s">
        <v>120</v>
      </c>
      <c r="E102" t="s">
        <v>142</v>
      </c>
      <c r="F102">
        <v>1</v>
      </c>
      <c r="G102" s="4">
        <v>201575</v>
      </c>
    </row>
    <row r="103" spans="1:7" x14ac:dyDescent="0.3">
      <c r="A103" t="s">
        <v>34</v>
      </c>
      <c r="B103" t="s">
        <v>43</v>
      </c>
      <c r="C103" t="s">
        <v>105</v>
      </c>
      <c r="D103" t="s">
        <v>120</v>
      </c>
      <c r="E103" t="s">
        <v>142</v>
      </c>
      <c r="F103">
        <v>1</v>
      </c>
      <c r="G103" s="4">
        <v>222054</v>
      </c>
    </row>
    <row r="104" spans="1:7" x14ac:dyDescent="0.3">
      <c r="A104" t="s">
        <v>34</v>
      </c>
      <c r="B104" t="s">
        <v>43</v>
      </c>
      <c r="C104" t="s">
        <v>106</v>
      </c>
      <c r="D104" t="s">
        <v>120</v>
      </c>
      <c r="E104" t="s">
        <v>142</v>
      </c>
      <c r="F104">
        <v>1</v>
      </c>
      <c r="G104" s="4">
        <v>287671</v>
      </c>
    </row>
    <row r="105" spans="1:7" x14ac:dyDescent="0.3">
      <c r="A105" t="s">
        <v>34</v>
      </c>
      <c r="B105" t="s">
        <v>43</v>
      </c>
      <c r="C105" t="s">
        <v>107</v>
      </c>
      <c r="D105" t="s">
        <v>120</v>
      </c>
      <c r="E105" t="s">
        <v>142</v>
      </c>
      <c r="F105">
        <v>1</v>
      </c>
      <c r="G105" s="4">
        <v>354617</v>
      </c>
    </row>
    <row r="106" spans="1:7" x14ac:dyDescent="0.3">
      <c r="A106" t="s">
        <v>10</v>
      </c>
      <c r="B106" t="s">
        <v>43</v>
      </c>
      <c r="C106" t="s">
        <v>200</v>
      </c>
      <c r="D106" t="s">
        <v>120</v>
      </c>
      <c r="E106" t="s">
        <v>142</v>
      </c>
      <c r="F106">
        <v>2</v>
      </c>
      <c r="G106" s="4">
        <v>738322</v>
      </c>
    </row>
    <row r="107" spans="1:7" x14ac:dyDescent="0.3">
      <c r="A107" t="s">
        <v>10</v>
      </c>
      <c r="B107" t="s">
        <v>43</v>
      </c>
      <c r="C107" t="s">
        <v>201</v>
      </c>
      <c r="D107" t="s">
        <v>120</v>
      </c>
      <c r="E107" t="s">
        <v>142</v>
      </c>
      <c r="F107">
        <v>2</v>
      </c>
      <c r="G107" s="4">
        <v>604000</v>
      </c>
    </row>
    <row r="108" spans="1:7" x14ac:dyDescent="0.3">
      <c r="A108" t="s">
        <v>10</v>
      </c>
      <c r="B108" t="s">
        <v>43</v>
      </c>
      <c r="C108" t="s">
        <v>202</v>
      </c>
      <c r="D108" t="s">
        <v>120</v>
      </c>
      <c r="E108" t="s">
        <v>142</v>
      </c>
      <c r="F108">
        <v>2</v>
      </c>
      <c r="G108" s="4">
        <v>639598</v>
      </c>
    </row>
    <row r="109" spans="1:7" x14ac:dyDescent="0.3">
      <c r="A109" t="s">
        <v>15</v>
      </c>
      <c r="B109" t="s">
        <v>43</v>
      </c>
      <c r="C109" t="s">
        <v>203</v>
      </c>
      <c r="D109" t="s">
        <v>120</v>
      </c>
      <c r="E109" t="s">
        <v>142</v>
      </c>
      <c r="F109">
        <v>2</v>
      </c>
      <c r="G109" s="4">
        <v>1716098</v>
      </c>
    </row>
    <row r="110" spans="1:7" x14ac:dyDescent="0.3">
      <c r="A110" t="s">
        <v>15</v>
      </c>
      <c r="B110" t="s">
        <v>43</v>
      </c>
      <c r="C110" t="s">
        <v>160</v>
      </c>
      <c r="D110" t="s">
        <v>120</v>
      </c>
      <c r="E110" t="s">
        <v>142</v>
      </c>
      <c r="F110">
        <v>2</v>
      </c>
      <c r="G110" s="4">
        <v>1304633</v>
      </c>
    </row>
    <row r="111" spans="1:7" x14ac:dyDescent="0.3">
      <c r="A111" t="s">
        <v>15</v>
      </c>
      <c r="B111" t="s">
        <v>43</v>
      </c>
      <c r="C111" t="s">
        <v>161</v>
      </c>
      <c r="D111" t="s">
        <v>120</v>
      </c>
      <c r="E111" t="s">
        <v>142</v>
      </c>
      <c r="F111">
        <v>2</v>
      </c>
      <c r="G111" s="4">
        <v>1013729</v>
      </c>
    </row>
    <row r="112" spans="1:7" x14ac:dyDescent="0.3">
      <c r="A112" t="s">
        <v>25</v>
      </c>
      <c r="B112" t="s">
        <v>140</v>
      </c>
      <c r="C112" t="s">
        <v>136</v>
      </c>
      <c r="D112" t="s">
        <v>147</v>
      </c>
      <c r="E112" t="s">
        <v>142</v>
      </c>
      <c r="F112">
        <v>1</v>
      </c>
      <c r="G112" s="4">
        <v>515520</v>
      </c>
    </row>
    <row r="113" spans="1:7" x14ac:dyDescent="0.3">
      <c r="A113" t="s">
        <v>25</v>
      </c>
      <c r="B113" t="s">
        <v>140</v>
      </c>
      <c r="C113" t="s">
        <v>137</v>
      </c>
      <c r="D113" t="s">
        <v>147</v>
      </c>
      <c r="E113" t="s">
        <v>142</v>
      </c>
      <c r="F113">
        <v>1</v>
      </c>
      <c r="G113" s="4">
        <v>601068</v>
      </c>
    </row>
    <row r="114" spans="1:7" x14ac:dyDescent="0.3">
      <c r="A114" t="s">
        <v>34</v>
      </c>
      <c r="B114" t="s">
        <v>140</v>
      </c>
      <c r="C114" t="s">
        <v>138</v>
      </c>
      <c r="D114" t="s">
        <v>147</v>
      </c>
      <c r="E114" t="s">
        <v>142</v>
      </c>
      <c r="F114">
        <v>1</v>
      </c>
      <c r="G114" s="4">
        <v>598188</v>
      </c>
    </row>
    <row r="115" spans="1:7" x14ac:dyDescent="0.3">
      <c r="A115" t="s">
        <v>34</v>
      </c>
      <c r="B115" t="s">
        <v>140</v>
      </c>
      <c r="C115" t="s">
        <v>139</v>
      </c>
      <c r="D115" t="s">
        <v>147</v>
      </c>
      <c r="E115" t="s">
        <v>142</v>
      </c>
      <c r="F115">
        <v>1</v>
      </c>
      <c r="G115" s="4">
        <v>531261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4474-AB4B-4509-BB39-EDE561C83DBC}">
  <dimension ref="A1:AC1000"/>
  <sheetViews>
    <sheetView zoomScaleNormal="100" workbookViewId="0">
      <pane ySplit="1" topLeftCell="A260" activePane="bottomLeft" state="frozen"/>
      <selection pane="bottomLeft" activeCell="C2" sqref="C2"/>
    </sheetView>
  </sheetViews>
  <sheetFormatPr defaultRowHeight="14.4" x14ac:dyDescent="0.3"/>
  <cols>
    <col min="1" max="1" width="10" bestFit="1" customWidth="1"/>
    <col min="2" max="2" width="17.21875" bestFit="1" customWidth="1"/>
    <col min="3" max="3" width="15" bestFit="1" customWidth="1"/>
    <col min="4" max="4" width="16.88671875" bestFit="1" customWidth="1"/>
    <col min="6" max="6" width="25" bestFit="1" customWidth="1"/>
    <col min="7" max="7" width="23.5546875" bestFit="1" customWidth="1"/>
    <col min="8" max="8" width="11.77734375" bestFit="1" customWidth="1"/>
    <col min="9" max="9" width="22.44140625" bestFit="1" customWidth="1"/>
    <col min="10" max="11" width="15" bestFit="1" customWidth="1"/>
    <col min="12" max="12" width="13.77734375" bestFit="1" customWidth="1"/>
    <col min="13" max="13" width="20.5546875" bestFit="1" customWidth="1"/>
    <col min="14" max="14" width="13.5546875" bestFit="1" customWidth="1"/>
    <col min="15" max="15" width="20.44140625" bestFit="1" customWidth="1"/>
    <col min="16" max="16" width="8.77734375" bestFit="1" customWidth="1"/>
    <col min="17" max="17" width="15.5546875" bestFit="1" customWidth="1"/>
    <col min="18" max="18" width="10" bestFit="1" customWidth="1"/>
    <col min="19" max="19" width="21.88671875" bestFit="1" customWidth="1"/>
    <col min="20" max="20" width="16" bestFit="1" customWidth="1"/>
    <col min="21" max="21" width="23.44140625" bestFit="1" customWidth="1"/>
    <col min="22" max="23" width="9" bestFit="1" customWidth="1"/>
    <col min="24" max="24" width="10" bestFit="1" customWidth="1"/>
    <col min="25" max="25" width="16.88671875" bestFit="1" customWidth="1"/>
    <col min="26" max="26" width="16.77734375" bestFit="1" customWidth="1"/>
    <col min="27" max="27" width="16.21875" bestFit="1" customWidth="1"/>
  </cols>
  <sheetData>
    <row r="1" spans="1:29" x14ac:dyDescent="0.3">
      <c r="A1" t="s">
        <v>255</v>
      </c>
      <c r="B1" t="s">
        <v>87</v>
      </c>
      <c r="C1" t="s">
        <v>0</v>
      </c>
      <c r="D1" t="s">
        <v>1</v>
      </c>
      <c r="E1" t="s">
        <v>304</v>
      </c>
      <c r="F1" t="s">
        <v>2</v>
      </c>
      <c r="G1" t="s">
        <v>163</v>
      </c>
      <c r="H1" t="s">
        <v>312</v>
      </c>
      <c r="I1" t="s">
        <v>65</v>
      </c>
      <c r="J1" t="s">
        <v>66</v>
      </c>
      <c r="K1" t="s">
        <v>67</v>
      </c>
      <c r="L1" t="s">
        <v>68</v>
      </c>
      <c r="M1" t="s">
        <v>76</v>
      </c>
      <c r="N1" t="s">
        <v>69</v>
      </c>
      <c r="O1" t="s">
        <v>77</v>
      </c>
      <c r="P1" t="s">
        <v>84</v>
      </c>
      <c r="Q1" t="s">
        <v>141</v>
      </c>
      <c r="R1" t="s">
        <v>70</v>
      </c>
      <c r="S1" t="s">
        <v>81</v>
      </c>
      <c r="T1" t="s">
        <v>71</v>
      </c>
      <c r="U1" t="s">
        <v>78</v>
      </c>
      <c r="V1" t="s">
        <v>72</v>
      </c>
      <c r="W1" t="s">
        <v>73</v>
      </c>
      <c r="X1" t="s">
        <v>74</v>
      </c>
      <c r="Y1" t="s">
        <v>79</v>
      </c>
      <c r="Z1" t="s">
        <v>99</v>
      </c>
      <c r="AA1" t="s">
        <v>100</v>
      </c>
      <c r="AC1" t="s">
        <v>242</v>
      </c>
    </row>
    <row r="2" spans="1:29" x14ac:dyDescent="0.3">
      <c r="A2" t="s">
        <v>257</v>
      </c>
      <c r="B2" t="s">
        <v>253</v>
      </c>
      <c r="C2" t="s">
        <v>43</v>
      </c>
      <c r="D2" s="1" t="s">
        <v>293</v>
      </c>
      <c r="E2" s="1" t="s">
        <v>310</v>
      </c>
      <c r="F2" t="s">
        <v>264</v>
      </c>
      <c r="H2" t="s">
        <v>314</v>
      </c>
      <c r="I2">
        <v>9492361</v>
      </c>
      <c r="J2">
        <v>9421049</v>
      </c>
      <c r="K2" s="3">
        <v>0.99248700000000001</v>
      </c>
      <c r="L2">
        <v>4715058</v>
      </c>
      <c r="M2" s="3">
        <v>0.49672100000000002</v>
      </c>
      <c r="N2">
        <v>4777303</v>
      </c>
      <c r="O2" s="3">
        <v>0.50327900000000003</v>
      </c>
      <c r="P2">
        <v>0</v>
      </c>
      <c r="Q2" s="3">
        <v>0</v>
      </c>
      <c r="R2">
        <v>0</v>
      </c>
      <c r="S2" s="3">
        <v>0</v>
      </c>
    </row>
    <row r="3" spans="1:29" x14ac:dyDescent="0.3">
      <c r="A3" t="s">
        <v>257</v>
      </c>
      <c r="B3" t="s">
        <v>253</v>
      </c>
      <c r="C3" t="s">
        <v>43</v>
      </c>
      <c r="D3" s="1" t="s">
        <v>293</v>
      </c>
      <c r="E3" s="1" t="s">
        <v>311</v>
      </c>
      <c r="F3" t="s">
        <v>263</v>
      </c>
      <c r="H3" t="s">
        <v>314</v>
      </c>
      <c r="I3">
        <v>9039251</v>
      </c>
      <c r="J3">
        <v>8979075</v>
      </c>
      <c r="K3" s="3">
        <v>0.99334299999999998</v>
      </c>
      <c r="L3">
        <v>4536655</v>
      </c>
      <c r="M3" s="3">
        <v>0.501884</v>
      </c>
      <c r="N3">
        <v>4502596</v>
      </c>
      <c r="O3" s="3">
        <v>0.498116</v>
      </c>
      <c r="P3">
        <v>0</v>
      </c>
      <c r="Q3" s="3">
        <v>0</v>
      </c>
      <c r="R3">
        <v>0</v>
      </c>
      <c r="S3" s="3">
        <v>0</v>
      </c>
    </row>
    <row r="4" spans="1:29" x14ac:dyDescent="0.3">
      <c r="A4" t="s">
        <v>257</v>
      </c>
      <c r="B4" t="s">
        <v>253</v>
      </c>
      <c r="C4" t="s">
        <v>43</v>
      </c>
      <c r="D4" s="1" t="s">
        <v>293</v>
      </c>
      <c r="E4" s="1" t="s">
        <v>310</v>
      </c>
      <c r="F4" t="s">
        <v>268</v>
      </c>
      <c r="H4" t="s">
        <v>314</v>
      </c>
      <c r="I4">
        <v>18604653</v>
      </c>
      <c r="J4">
        <v>18487334</v>
      </c>
      <c r="K4" s="3">
        <v>0.99369399999999997</v>
      </c>
      <c r="L4">
        <v>9211880</v>
      </c>
      <c r="M4" s="3">
        <v>0.495139</v>
      </c>
      <c r="N4">
        <v>9392773</v>
      </c>
      <c r="O4" s="3">
        <v>0.50486200000000003</v>
      </c>
      <c r="P4">
        <v>0</v>
      </c>
      <c r="Q4" s="3">
        <v>0</v>
      </c>
      <c r="R4">
        <v>0</v>
      </c>
      <c r="S4" s="3">
        <v>0</v>
      </c>
    </row>
    <row r="5" spans="1:29" x14ac:dyDescent="0.3">
      <c r="A5" t="s">
        <v>257</v>
      </c>
      <c r="B5" t="s">
        <v>253</v>
      </c>
      <c r="C5" t="s">
        <v>43</v>
      </c>
      <c r="D5" s="1" t="s">
        <v>293</v>
      </c>
      <c r="E5" s="1" t="s">
        <v>310</v>
      </c>
      <c r="F5" t="s">
        <v>270</v>
      </c>
      <c r="H5" t="s">
        <v>314</v>
      </c>
      <c r="I5">
        <v>10185893</v>
      </c>
      <c r="J5">
        <v>10124778</v>
      </c>
      <c r="K5" s="3">
        <v>0.99399999999999999</v>
      </c>
      <c r="L5">
        <v>5076258</v>
      </c>
      <c r="M5" s="3">
        <v>0.49836200000000003</v>
      </c>
      <c r="N5">
        <v>5109635</v>
      </c>
      <c r="O5" s="3">
        <v>0.50163800000000003</v>
      </c>
      <c r="P5">
        <v>0</v>
      </c>
      <c r="Q5" s="3">
        <v>0</v>
      </c>
      <c r="R5">
        <v>0</v>
      </c>
      <c r="S5" s="3">
        <v>0</v>
      </c>
    </row>
    <row r="6" spans="1:29" x14ac:dyDescent="0.3">
      <c r="A6" t="s">
        <v>257</v>
      </c>
      <c r="B6" t="s">
        <v>253</v>
      </c>
      <c r="C6" t="s">
        <v>43</v>
      </c>
      <c r="D6" s="1" t="s">
        <v>293</v>
      </c>
      <c r="E6" s="1" t="s">
        <v>310</v>
      </c>
      <c r="F6" t="s">
        <v>269</v>
      </c>
      <c r="H6" t="s">
        <v>314</v>
      </c>
      <c r="I6">
        <v>10943599</v>
      </c>
      <c r="J6">
        <v>10878128</v>
      </c>
      <c r="K6" s="3">
        <v>0.99401700000000004</v>
      </c>
      <c r="L6">
        <v>5448185</v>
      </c>
      <c r="M6" s="3">
        <v>0.49784200000000001</v>
      </c>
      <c r="N6">
        <v>5495414</v>
      </c>
      <c r="O6" s="3">
        <v>0.50215799999999999</v>
      </c>
      <c r="P6">
        <v>0</v>
      </c>
      <c r="Q6" s="3">
        <v>0</v>
      </c>
      <c r="R6">
        <v>0</v>
      </c>
      <c r="S6" s="3">
        <v>0</v>
      </c>
    </row>
    <row r="7" spans="1:29" x14ac:dyDescent="0.3">
      <c r="A7" t="s">
        <v>257</v>
      </c>
      <c r="B7" t="s">
        <v>253</v>
      </c>
      <c r="C7" t="s">
        <v>43</v>
      </c>
      <c r="D7" s="1" t="s">
        <v>293</v>
      </c>
      <c r="E7" s="1" t="s">
        <v>311</v>
      </c>
      <c r="F7" t="s">
        <v>261</v>
      </c>
      <c r="H7" t="s">
        <v>314</v>
      </c>
      <c r="I7">
        <v>7307733</v>
      </c>
      <c r="J7">
        <v>7265847</v>
      </c>
      <c r="K7" s="3">
        <v>0.99426800000000004</v>
      </c>
      <c r="L7">
        <v>3664641</v>
      </c>
      <c r="M7" s="3">
        <v>0.50147399999999998</v>
      </c>
      <c r="N7">
        <v>3643092</v>
      </c>
      <c r="O7" s="3">
        <v>0.49852600000000002</v>
      </c>
      <c r="P7">
        <v>0</v>
      </c>
      <c r="Q7" s="3">
        <v>0</v>
      </c>
      <c r="R7">
        <v>0</v>
      </c>
      <c r="S7" s="3">
        <v>0</v>
      </c>
    </row>
    <row r="8" spans="1:29" x14ac:dyDescent="0.3">
      <c r="A8" t="s">
        <v>257</v>
      </c>
      <c r="B8" t="s">
        <v>253</v>
      </c>
      <c r="C8" t="s">
        <v>43</v>
      </c>
      <c r="D8" s="1" t="s">
        <v>293</v>
      </c>
      <c r="E8" s="1" t="s">
        <v>311</v>
      </c>
      <c r="F8" t="s">
        <v>292</v>
      </c>
      <c r="H8" t="s">
        <v>314</v>
      </c>
      <c r="I8">
        <v>4823638</v>
      </c>
      <c r="J8">
        <v>4796151</v>
      </c>
      <c r="K8" s="3">
        <v>0.99430200000000002</v>
      </c>
      <c r="L8">
        <v>2402783</v>
      </c>
      <c r="M8" s="3">
        <v>0.49812699999999999</v>
      </c>
      <c r="N8">
        <v>2420855</v>
      </c>
      <c r="O8" s="3">
        <v>0.50187300000000001</v>
      </c>
      <c r="P8">
        <v>0</v>
      </c>
      <c r="Q8" s="3">
        <v>0</v>
      </c>
      <c r="R8">
        <v>0</v>
      </c>
      <c r="S8" s="3">
        <v>0</v>
      </c>
    </row>
    <row r="9" spans="1:29" x14ac:dyDescent="0.3">
      <c r="A9" t="s">
        <v>257</v>
      </c>
      <c r="B9" t="s">
        <v>253</v>
      </c>
      <c r="C9" t="s">
        <v>43</v>
      </c>
      <c r="D9" s="1" t="s">
        <v>293</v>
      </c>
      <c r="E9" s="1" t="s">
        <v>310</v>
      </c>
      <c r="F9" t="s">
        <v>265</v>
      </c>
      <c r="H9" t="s">
        <v>314</v>
      </c>
      <c r="I9">
        <v>13818844</v>
      </c>
      <c r="J9">
        <v>13741098</v>
      </c>
      <c r="K9" s="3">
        <v>0.99437399999999998</v>
      </c>
      <c r="L9">
        <v>6805642</v>
      </c>
      <c r="M9" s="3">
        <v>0.49248999999999998</v>
      </c>
      <c r="N9">
        <v>7013202</v>
      </c>
      <c r="O9" s="3">
        <v>0.50751000000000002</v>
      </c>
      <c r="P9">
        <v>0</v>
      </c>
      <c r="Q9" s="3">
        <v>0</v>
      </c>
      <c r="R9">
        <v>0</v>
      </c>
      <c r="S9" s="3">
        <v>0</v>
      </c>
    </row>
    <row r="10" spans="1:29" x14ac:dyDescent="0.3">
      <c r="A10" t="s">
        <v>257</v>
      </c>
      <c r="B10" t="s">
        <v>253</v>
      </c>
      <c r="C10" t="s">
        <v>43</v>
      </c>
      <c r="D10" s="1" t="s">
        <v>293</v>
      </c>
      <c r="E10" s="1" t="s">
        <v>311</v>
      </c>
      <c r="F10" t="s">
        <v>291</v>
      </c>
      <c r="H10" t="s">
        <v>314</v>
      </c>
      <c r="I10">
        <v>6405899</v>
      </c>
      <c r="J10">
        <v>6371807</v>
      </c>
      <c r="K10" s="3">
        <v>0.99467799999999995</v>
      </c>
      <c r="L10">
        <v>3212017</v>
      </c>
      <c r="M10" s="3">
        <v>0.50141500000000006</v>
      </c>
      <c r="N10">
        <v>3193882</v>
      </c>
      <c r="O10" s="3">
        <v>0.498585</v>
      </c>
      <c r="P10">
        <v>0</v>
      </c>
      <c r="Q10" s="3">
        <v>0</v>
      </c>
      <c r="R10">
        <v>0</v>
      </c>
      <c r="S10" s="3">
        <v>0</v>
      </c>
    </row>
    <row r="11" spans="1:29" x14ac:dyDescent="0.3">
      <c r="A11" t="s">
        <v>257</v>
      </c>
      <c r="B11" t="s">
        <v>253</v>
      </c>
      <c r="C11" t="s">
        <v>43</v>
      </c>
      <c r="D11" s="1" t="s">
        <v>293</v>
      </c>
      <c r="E11" s="1" t="s">
        <v>309</v>
      </c>
      <c r="F11" t="s">
        <v>279</v>
      </c>
      <c r="H11" t="s">
        <v>314</v>
      </c>
      <c r="I11">
        <v>8667967</v>
      </c>
      <c r="J11">
        <v>8622192</v>
      </c>
      <c r="K11" s="3">
        <v>0.99471900000000002</v>
      </c>
      <c r="L11">
        <v>4365228</v>
      </c>
      <c r="M11" s="3">
        <v>0.50360499999999997</v>
      </c>
      <c r="N11">
        <v>4302739</v>
      </c>
      <c r="O11" s="3">
        <v>0.49639499999999998</v>
      </c>
      <c r="P11">
        <v>0</v>
      </c>
      <c r="Q11" s="3">
        <v>0</v>
      </c>
      <c r="R11">
        <v>0</v>
      </c>
      <c r="S11" s="3">
        <v>0</v>
      </c>
    </row>
    <row r="12" spans="1:29" x14ac:dyDescent="0.3">
      <c r="A12" t="s">
        <v>257</v>
      </c>
      <c r="B12" t="s">
        <v>253</v>
      </c>
      <c r="C12" t="s">
        <v>43</v>
      </c>
      <c r="D12" s="1" t="s">
        <v>293</v>
      </c>
      <c r="E12" s="1" t="s">
        <v>309</v>
      </c>
      <c r="F12" t="s">
        <v>283</v>
      </c>
      <c r="H12" t="s">
        <v>314</v>
      </c>
      <c r="I12">
        <v>13141838</v>
      </c>
      <c r="J12">
        <v>13073634</v>
      </c>
      <c r="K12" s="3">
        <v>0.99480999999999997</v>
      </c>
      <c r="L12">
        <v>6607470</v>
      </c>
      <c r="M12" s="3">
        <v>0.50278100000000003</v>
      </c>
      <c r="N12">
        <v>6534368</v>
      </c>
      <c r="O12" s="3">
        <v>0.49721900000000002</v>
      </c>
      <c r="P12">
        <v>0</v>
      </c>
      <c r="Q12" s="3">
        <v>0</v>
      </c>
      <c r="R12">
        <v>0</v>
      </c>
      <c r="S12" s="3">
        <v>0</v>
      </c>
    </row>
    <row r="13" spans="1:29" x14ac:dyDescent="0.3">
      <c r="A13" t="s">
        <v>257</v>
      </c>
      <c r="B13" t="s">
        <v>253</v>
      </c>
      <c r="C13" t="s">
        <v>43</v>
      </c>
      <c r="D13" s="1" t="s">
        <v>293</v>
      </c>
      <c r="E13" s="1" t="s">
        <v>309</v>
      </c>
      <c r="F13" t="s">
        <v>280</v>
      </c>
      <c r="H13" t="s">
        <v>314</v>
      </c>
      <c r="I13">
        <v>15787713</v>
      </c>
      <c r="J13">
        <v>15710960</v>
      </c>
      <c r="K13" s="3">
        <v>0.99513799999999997</v>
      </c>
      <c r="L13">
        <v>7863676</v>
      </c>
      <c r="M13" s="3">
        <v>0.49808799999999998</v>
      </c>
      <c r="N13">
        <v>7924037</v>
      </c>
      <c r="O13" s="3">
        <v>0.50191200000000002</v>
      </c>
      <c r="P13">
        <v>0</v>
      </c>
      <c r="Q13" s="3">
        <v>0</v>
      </c>
      <c r="R13">
        <v>0</v>
      </c>
      <c r="S13" s="3">
        <v>0</v>
      </c>
    </row>
    <row r="14" spans="1:29" x14ac:dyDescent="0.3">
      <c r="A14" t="s">
        <v>257</v>
      </c>
      <c r="B14" t="s">
        <v>253</v>
      </c>
      <c r="C14" t="s">
        <v>43</v>
      </c>
      <c r="D14" s="1" t="s">
        <v>293</v>
      </c>
      <c r="E14" s="1" t="s">
        <v>310</v>
      </c>
      <c r="F14" t="s">
        <v>267</v>
      </c>
      <c r="H14" t="s">
        <v>314</v>
      </c>
      <c r="I14">
        <v>12240234</v>
      </c>
      <c r="J14">
        <v>12182706</v>
      </c>
      <c r="K14" s="3">
        <v>0.99529999999999996</v>
      </c>
      <c r="L14">
        <v>6079913</v>
      </c>
      <c r="M14" s="3">
        <v>0.49671500000000002</v>
      </c>
      <c r="N14">
        <v>6160321</v>
      </c>
      <c r="O14" s="3">
        <v>0.50328499999999998</v>
      </c>
      <c r="P14">
        <v>0</v>
      </c>
      <c r="Q14" s="3">
        <v>0</v>
      </c>
      <c r="R14">
        <v>0</v>
      </c>
      <c r="S14" s="3">
        <v>0</v>
      </c>
    </row>
    <row r="15" spans="1:29" x14ac:dyDescent="0.3">
      <c r="A15" t="s">
        <v>257</v>
      </c>
      <c r="B15" t="s">
        <v>253</v>
      </c>
      <c r="C15" t="s">
        <v>43</v>
      </c>
      <c r="D15" s="1" t="s">
        <v>293</v>
      </c>
      <c r="E15" s="1" t="s">
        <v>310</v>
      </c>
      <c r="F15" t="s">
        <v>272</v>
      </c>
      <c r="H15" t="s">
        <v>314</v>
      </c>
      <c r="I15">
        <v>10971005</v>
      </c>
      <c r="J15">
        <v>10919954</v>
      </c>
      <c r="K15" s="3">
        <v>0.99534699999999998</v>
      </c>
      <c r="L15">
        <v>5446806</v>
      </c>
      <c r="M15" s="3">
        <v>0.496473</v>
      </c>
      <c r="N15">
        <v>5524199</v>
      </c>
      <c r="O15" s="3">
        <v>0.50352699999999995</v>
      </c>
      <c r="P15">
        <v>0</v>
      </c>
      <c r="Q15" s="3">
        <v>0</v>
      </c>
      <c r="R15">
        <v>0</v>
      </c>
      <c r="S15" s="3">
        <v>0</v>
      </c>
    </row>
    <row r="16" spans="1:29" x14ac:dyDescent="0.3">
      <c r="A16" t="s">
        <v>257</v>
      </c>
      <c r="B16" t="s">
        <v>253</v>
      </c>
      <c r="C16" t="s">
        <v>43</v>
      </c>
      <c r="D16" s="1" t="s">
        <v>293</v>
      </c>
      <c r="E16" s="1" t="s">
        <v>310</v>
      </c>
      <c r="F16" t="s">
        <v>266</v>
      </c>
      <c r="H16" t="s">
        <v>314</v>
      </c>
      <c r="I16">
        <v>13278745</v>
      </c>
      <c r="J16">
        <v>13217402</v>
      </c>
      <c r="K16" s="3">
        <v>0.99538000000000004</v>
      </c>
      <c r="L16">
        <v>6543599</v>
      </c>
      <c r="M16" s="3">
        <v>0.49278699999999998</v>
      </c>
      <c r="N16">
        <v>6735146</v>
      </c>
      <c r="O16" s="3">
        <v>0.50721300000000002</v>
      </c>
      <c r="P16">
        <v>0</v>
      </c>
      <c r="Q16" s="3">
        <v>0</v>
      </c>
      <c r="R16">
        <v>0</v>
      </c>
      <c r="S16" s="3">
        <v>0</v>
      </c>
    </row>
    <row r="17" spans="1:19" x14ac:dyDescent="0.3">
      <c r="A17" t="s">
        <v>257</v>
      </c>
      <c r="B17" t="s">
        <v>253</v>
      </c>
      <c r="C17" t="s">
        <v>43</v>
      </c>
      <c r="D17" s="1" t="s">
        <v>293</v>
      </c>
      <c r="E17" t="s">
        <v>310</v>
      </c>
      <c r="F17" t="s">
        <v>258</v>
      </c>
      <c r="H17" t="s">
        <v>314</v>
      </c>
      <c r="I17">
        <v>8879401</v>
      </c>
      <c r="J17">
        <v>8839232</v>
      </c>
      <c r="K17" s="3">
        <v>0.99547600000000003</v>
      </c>
      <c r="L17">
        <v>4424981</v>
      </c>
      <c r="M17" s="3">
        <v>0.49834200000000001</v>
      </c>
      <c r="N17">
        <v>4454420</v>
      </c>
      <c r="O17" s="3">
        <v>0.50165800000000005</v>
      </c>
      <c r="P17">
        <v>0</v>
      </c>
      <c r="Q17" s="3">
        <v>0</v>
      </c>
      <c r="R17">
        <v>0</v>
      </c>
      <c r="S17" s="3">
        <v>0</v>
      </c>
    </row>
    <row r="18" spans="1:19" x14ac:dyDescent="0.3">
      <c r="A18" t="s">
        <v>257</v>
      </c>
      <c r="B18" t="s">
        <v>253</v>
      </c>
      <c r="C18" t="s">
        <v>43</v>
      </c>
      <c r="D18" s="1" t="s">
        <v>293</v>
      </c>
      <c r="E18" s="1" t="s">
        <v>309</v>
      </c>
      <c r="F18" t="s">
        <v>278</v>
      </c>
      <c r="H18" t="s">
        <v>314</v>
      </c>
      <c r="I18">
        <v>8587157</v>
      </c>
      <c r="J18">
        <v>8548673</v>
      </c>
      <c r="K18" s="3">
        <v>0.99551800000000001</v>
      </c>
      <c r="L18">
        <v>4282625</v>
      </c>
      <c r="M18" s="3">
        <v>0.498724</v>
      </c>
      <c r="N18">
        <v>4304532</v>
      </c>
      <c r="O18" s="3">
        <v>0.50127600000000005</v>
      </c>
      <c r="P18">
        <v>0</v>
      </c>
      <c r="Q18" s="3">
        <v>0</v>
      </c>
      <c r="R18">
        <v>0</v>
      </c>
      <c r="S18" s="3">
        <v>0</v>
      </c>
    </row>
    <row r="19" spans="1:19" x14ac:dyDescent="0.3">
      <c r="A19" t="s">
        <v>257</v>
      </c>
      <c r="B19" t="s">
        <v>253</v>
      </c>
      <c r="C19" t="s">
        <v>43</v>
      </c>
      <c r="D19" s="1" t="s">
        <v>293</v>
      </c>
      <c r="E19" s="1" t="s">
        <v>311</v>
      </c>
      <c r="F19" t="s">
        <v>260</v>
      </c>
      <c r="H19" t="s">
        <v>314</v>
      </c>
      <c r="I19">
        <v>12206552</v>
      </c>
      <c r="J19">
        <v>12152261</v>
      </c>
      <c r="K19" s="3">
        <v>0.99555199999999999</v>
      </c>
      <c r="L19">
        <v>6120743</v>
      </c>
      <c r="M19" s="3">
        <v>0.50143099999999996</v>
      </c>
      <c r="N19">
        <v>6085809</v>
      </c>
      <c r="O19" s="3">
        <v>0.49856899999999998</v>
      </c>
      <c r="P19">
        <v>0</v>
      </c>
      <c r="Q19" s="3">
        <v>0</v>
      </c>
      <c r="R19">
        <v>0</v>
      </c>
      <c r="S19" s="3">
        <v>0</v>
      </c>
    </row>
    <row r="20" spans="1:19" x14ac:dyDescent="0.3">
      <c r="A20" t="s">
        <v>257</v>
      </c>
      <c r="B20" t="s">
        <v>253</v>
      </c>
      <c r="C20" t="s">
        <v>43</v>
      </c>
      <c r="D20" s="1" t="s">
        <v>293</v>
      </c>
      <c r="E20" s="1" t="s">
        <v>311</v>
      </c>
      <c r="F20" t="s">
        <v>286</v>
      </c>
      <c r="H20" t="s">
        <v>314</v>
      </c>
      <c r="I20">
        <v>6548630</v>
      </c>
      <c r="J20">
        <v>6520356</v>
      </c>
      <c r="K20" s="3">
        <v>0.99568199999999996</v>
      </c>
      <c r="L20">
        <v>3254077</v>
      </c>
      <c r="M20" s="3">
        <v>0.49691000000000002</v>
      </c>
      <c r="N20">
        <v>3294553</v>
      </c>
      <c r="O20" s="3">
        <v>0.50309000000000004</v>
      </c>
      <c r="P20">
        <v>0</v>
      </c>
      <c r="Q20" s="3">
        <v>0</v>
      </c>
      <c r="R20">
        <v>0</v>
      </c>
      <c r="S20" s="3">
        <v>0</v>
      </c>
    </row>
    <row r="21" spans="1:19" x14ac:dyDescent="0.3">
      <c r="A21" t="s">
        <v>257</v>
      </c>
      <c r="B21" t="s">
        <v>253</v>
      </c>
      <c r="C21" t="s">
        <v>43</v>
      </c>
      <c r="D21" s="1" t="s">
        <v>293</v>
      </c>
      <c r="E21" s="1" t="s">
        <v>309</v>
      </c>
      <c r="F21" t="s">
        <v>275</v>
      </c>
      <c r="H21" t="s">
        <v>314</v>
      </c>
      <c r="I21">
        <v>14878588</v>
      </c>
      <c r="J21">
        <v>14814521</v>
      </c>
      <c r="K21" s="3">
        <v>0.99569399999999997</v>
      </c>
      <c r="L21">
        <v>7415576</v>
      </c>
      <c r="M21" s="3">
        <v>0.49840600000000002</v>
      </c>
      <c r="N21">
        <v>7463012</v>
      </c>
      <c r="O21" s="3">
        <v>0.50159399999999998</v>
      </c>
      <c r="P21">
        <v>0</v>
      </c>
      <c r="Q21" s="3">
        <v>0</v>
      </c>
      <c r="R21">
        <v>0</v>
      </c>
      <c r="S21" s="3">
        <v>0</v>
      </c>
    </row>
    <row r="22" spans="1:19" x14ac:dyDescent="0.3">
      <c r="A22" t="s">
        <v>257</v>
      </c>
      <c r="B22" t="s">
        <v>253</v>
      </c>
      <c r="C22" t="s">
        <v>43</v>
      </c>
      <c r="D22" s="1" t="s">
        <v>293</v>
      </c>
      <c r="E22" s="1" t="s">
        <v>310</v>
      </c>
      <c r="F22" t="s">
        <v>273</v>
      </c>
      <c r="H22" t="s">
        <v>314</v>
      </c>
      <c r="I22">
        <v>11291944</v>
      </c>
      <c r="J22">
        <v>11244495</v>
      </c>
      <c r="K22" s="3">
        <v>0.99579799999999996</v>
      </c>
      <c r="L22">
        <v>5603757</v>
      </c>
      <c r="M22" s="3">
        <v>0.49626199999999998</v>
      </c>
      <c r="N22">
        <v>5688187</v>
      </c>
      <c r="O22" s="3">
        <v>0.50373900000000005</v>
      </c>
      <c r="P22">
        <v>0</v>
      </c>
      <c r="Q22" s="3">
        <v>0</v>
      </c>
      <c r="R22">
        <v>0</v>
      </c>
      <c r="S22" s="3">
        <v>0</v>
      </c>
    </row>
    <row r="23" spans="1:19" x14ac:dyDescent="0.3">
      <c r="A23" t="s">
        <v>257</v>
      </c>
      <c r="B23" t="s">
        <v>253</v>
      </c>
      <c r="C23" t="s">
        <v>43</v>
      </c>
      <c r="D23" s="1" t="s">
        <v>293</v>
      </c>
      <c r="E23" s="1" t="s">
        <v>309</v>
      </c>
      <c r="F23" t="s">
        <v>277</v>
      </c>
      <c r="H23" t="s">
        <v>314</v>
      </c>
      <c r="I23">
        <v>12894661</v>
      </c>
      <c r="J23">
        <v>12840876</v>
      </c>
      <c r="K23" s="3">
        <v>0.99582899999999996</v>
      </c>
      <c r="L23">
        <v>6439027</v>
      </c>
      <c r="M23" s="3">
        <v>0.49935600000000002</v>
      </c>
      <c r="N23">
        <v>6455634</v>
      </c>
      <c r="O23" s="3">
        <v>0.50064399999999998</v>
      </c>
      <c r="P23">
        <v>0</v>
      </c>
      <c r="Q23" s="3">
        <v>0</v>
      </c>
      <c r="R23">
        <v>0</v>
      </c>
      <c r="S23" s="3">
        <v>0</v>
      </c>
    </row>
    <row r="24" spans="1:19" x14ac:dyDescent="0.3">
      <c r="A24" t="s">
        <v>257</v>
      </c>
      <c r="B24" t="s">
        <v>253</v>
      </c>
      <c r="C24" t="s">
        <v>43</v>
      </c>
      <c r="D24" s="1" t="s">
        <v>293</v>
      </c>
      <c r="E24" s="1" t="s">
        <v>310</v>
      </c>
      <c r="F24" t="s">
        <v>271</v>
      </c>
      <c r="H24" t="s">
        <v>314</v>
      </c>
      <c r="I24">
        <v>14860446</v>
      </c>
      <c r="J24">
        <v>14799142</v>
      </c>
      <c r="K24" s="3">
        <v>0.99587499999999995</v>
      </c>
      <c r="L24">
        <v>7360482</v>
      </c>
      <c r="M24" s="3">
        <v>0.495307</v>
      </c>
      <c r="N24">
        <v>7499964</v>
      </c>
      <c r="O24" s="3">
        <v>0.50469299999999995</v>
      </c>
      <c r="P24">
        <v>0</v>
      </c>
      <c r="Q24" s="3">
        <v>0</v>
      </c>
      <c r="R24">
        <v>0</v>
      </c>
      <c r="S24" s="3">
        <v>0</v>
      </c>
    </row>
    <row r="25" spans="1:19" x14ac:dyDescent="0.3">
      <c r="A25" t="s">
        <v>257</v>
      </c>
      <c r="B25" t="s">
        <v>253</v>
      </c>
      <c r="C25" t="s">
        <v>43</v>
      </c>
      <c r="D25" s="1" t="s">
        <v>293</v>
      </c>
      <c r="E25" s="1" t="s">
        <v>309</v>
      </c>
      <c r="F25" t="s">
        <v>285</v>
      </c>
      <c r="H25" t="s">
        <v>314</v>
      </c>
      <c r="I25">
        <v>7745207</v>
      </c>
      <c r="J25">
        <v>7713257</v>
      </c>
      <c r="K25" s="3">
        <v>0.99587499999999995</v>
      </c>
      <c r="L25">
        <v>3856380</v>
      </c>
      <c r="M25" s="3">
        <v>0.49790499999999999</v>
      </c>
      <c r="N25">
        <v>3888827</v>
      </c>
      <c r="O25" s="3">
        <v>0.50209499999999996</v>
      </c>
      <c r="P25">
        <v>0</v>
      </c>
      <c r="Q25" s="3">
        <v>0</v>
      </c>
      <c r="R25">
        <v>0</v>
      </c>
      <c r="S25" s="3">
        <v>0</v>
      </c>
    </row>
    <row r="26" spans="1:19" x14ac:dyDescent="0.3">
      <c r="A26" t="s">
        <v>257</v>
      </c>
      <c r="B26" t="s">
        <v>253</v>
      </c>
      <c r="C26" t="s">
        <v>43</v>
      </c>
      <c r="D26" s="1" t="s">
        <v>293</v>
      </c>
      <c r="E26" s="1" t="s">
        <v>311</v>
      </c>
      <c r="F26" t="s">
        <v>288</v>
      </c>
      <c r="H26" t="s">
        <v>314</v>
      </c>
      <c r="I26">
        <v>17204703</v>
      </c>
      <c r="J26">
        <v>17134623</v>
      </c>
      <c r="K26" s="3">
        <v>0.99592700000000001</v>
      </c>
      <c r="L26">
        <v>8555397</v>
      </c>
      <c r="M26" s="3">
        <v>0.49727100000000002</v>
      </c>
      <c r="N26">
        <v>8649306</v>
      </c>
      <c r="O26" s="3">
        <v>0.50272899999999998</v>
      </c>
      <c r="P26">
        <v>0</v>
      </c>
      <c r="Q26" s="3">
        <v>0</v>
      </c>
      <c r="R26">
        <v>0</v>
      </c>
      <c r="S26" s="3">
        <v>0</v>
      </c>
    </row>
    <row r="27" spans="1:19" x14ac:dyDescent="0.3">
      <c r="A27" t="s">
        <v>257</v>
      </c>
      <c r="B27" t="s">
        <v>253</v>
      </c>
      <c r="C27" t="s">
        <v>43</v>
      </c>
      <c r="D27" s="1" t="s">
        <v>293</v>
      </c>
      <c r="E27" s="1" t="s">
        <v>309</v>
      </c>
      <c r="F27" t="s">
        <v>274</v>
      </c>
      <c r="H27" t="s">
        <v>314</v>
      </c>
      <c r="I27">
        <v>9848976</v>
      </c>
      <c r="J27">
        <v>9809308</v>
      </c>
      <c r="K27" s="3">
        <v>0.99597199999999997</v>
      </c>
      <c r="L27">
        <v>4898664</v>
      </c>
      <c r="M27" s="3">
        <v>0.49737799999999999</v>
      </c>
      <c r="N27">
        <v>4950312</v>
      </c>
      <c r="O27" s="3">
        <v>0.50262200000000001</v>
      </c>
      <c r="P27">
        <v>0</v>
      </c>
      <c r="Q27" s="3">
        <v>0</v>
      </c>
      <c r="R27">
        <v>0</v>
      </c>
      <c r="S27" s="3">
        <v>0</v>
      </c>
    </row>
    <row r="28" spans="1:19" x14ac:dyDescent="0.3">
      <c r="A28" t="s">
        <v>257</v>
      </c>
      <c r="B28" t="s">
        <v>253</v>
      </c>
      <c r="C28" t="s">
        <v>43</v>
      </c>
      <c r="D28" s="1" t="s">
        <v>293</v>
      </c>
      <c r="E28" s="1" t="s">
        <v>309</v>
      </c>
      <c r="F28" t="s">
        <v>281</v>
      </c>
      <c r="H28" t="s">
        <v>314</v>
      </c>
      <c r="I28">
        <v>9408824</v>
      </c>
      <c r="J28">
        <v>9371248</v>
      </c>
      <c r="K28" s="3">
        <v>0.99600599999999995</v>
      </c>
      <c r="L28">
        <v>4694289</v>
      </c>
      <c r="M28" s="3">
        <v>0.49892399999999998</v>
      </c>
      <c r="N28">
        <v>4714535</v>
      </c>
      <c r="O28" s="3">
        <v>0.50107599999999997</v>
      </c>
      <c r="P28">
        <v>0</v>
      </c>
      <c r="Q28" s="3">
        <v>0</v>
      </c>
      <c r="R28">
        <v>0</v>
      </c>
      <c r="S28" s="3">
        <v>0</v>
      </c>
    </row>
    <row r="29" spans="1:19" x14ac:dyDescent="0.3">
      <c r="A29" t="s">
        <v>257</v>
      </c>
      <c r="B29" t="s">
        <v>253</v>
      </c>
      <c r="C29" t="s">
        <v>43</v>
      </c>
      <c r="D29" s="1" t="s">
        <v>293</v>
      </c>
      <c r="E29" s="1" t="s">
        <v>309</v>
      </c>
      <c r="F29" t="s">
        <v>282</v>
      </c>
      <c r="H29" t="s">
        <v>314</v>
      </c>
      <c r="I29">
        <v>11734425</v>
      </c>
      <c r="J29">
        <v>11690121</v>
      </c>
      <c r="K29" s="3">
        <v>0.996224</v>
      </c>
      <c r="L29">
        <v>5839453</v>
      </c>
      <c r="M29" s="3">
        <v>0.49763400000000002</v>
      </c>
      <c r="N29">
        <v>5894972</v>
      </c>
      <c r="O29" s="3">
        <v>0.50236599999999998</v>
      </c>
      <c r="P29">
        <v>0</v>
      </c>
      <c r="Q29" s="3">
        <v>0</v>
      </c>
      <c r="R29">
        <v>0</v>
      </c>
      <c r="S29" s="3">
        <v>0</v>
      </c>
    </row>
    <row r="30" spans="1:19" x14ac:dyDescent="0.3">
      <c r="A30" t="s">
        <v>257</v>
      </c>
      <c r="B30" t="s">
        <v>253</v>
      </c>
      <c r="C30" t="s">
        <v>43</v>
      </c>
      <c r="D30" s="1" t="s">
        <v>293</v>
      </c>
      <c r="E30" s="1" t="s">
        <v>311</v>
      </c>
      <c r="F30" t="s">
        <v>262</v>
      </c>
      <c r="H30" t="s">
        <v>314</v>
      </c>
      <c r="I30">
        <v>7266838</v>
      </c>
      <c r="J30">
        <v>7239516</v>
      </c>
      <c r="K30" s="3">
        <v>0.99624000000000001</v>
      </c>
      <c r="L30">
        <v>3606725</v>
      </c>
      <c r="M30" s="3">
        <v>0.49632700000000002</v>
      </c>
      <c r="N30">
        <v>3660113</v>
      </c>
      <c r="O30" s="3">
        <v>0.50367300000000004</v>
      </c>
      <c r="P30">
        <v>0</v>
      </c>
      <c r="Q30" s="3">
        <v>0</v>
      </c>
      <c r="R30">
        <v>0</v>
      </c>
      <c r="S30" s="3">
        <v>0</v>
      </c>
    </row>
    <row r="31" spans="1:19" x14ac:dyDescent="0.3">
      <c r="A31" t="s">
        <v>257</v>
      </c>
      <c r="B31" t="s">
        <v>253</v>
      </c>
      <c r="C31" t="s">
        <v>43</v>
      </c>
      <c r="D31" s="1" t="s">
        <v>293</v>
      </c>
      <c r="E31" s="1" t="s">
        <v>311</v>
      </c>
      <c r="F31" t="s">
        <v>287</v>
      </c>
      <c r="H31" t="s">
        <v>314</v>
      </c>
      <c r="I31">
        <v>14902885</v>
      </c>
      <c r="J31">
        <v>14849700</v>
      </c>
      <c r="K31" s="3">
        <v>0.99643099999999996</v>
      </c>
      <c r="L31">
        <v>7404068</v>
      </c>
      <c r="M31" s="3">
        <v>0.49682100000000001</v>
      </c>
      <c r="N31">
        <v>7498817</v>
      </c>
      <c r="O31" s="3">
        <v>0.50317900000000004</v>
      </c>
      <c r="P31">
        <v>0</v>
      </c>
      <c r="Q31" s="3">
        <v>0</v>
      </c>
      <c r="R31">
        <v>0</v>
      </c>
      <c r="S31" s="3">
        <v>0</v>
      </c>
    </row>
    <row r="32" spans="1:19" x14ac:dyDescent="0.3">
      <c r="A32" t="s">
        <v>257</v>
      </c>
      <c r="B32" t="s">
        <v>253</v>
      </c>
      <c r="C32" t="s">
        <v>43</v>
      </c>
      <c r="D32" s="1" t="s">
        <v>293</v>
      </c>
      <c r="E32" s="1" t="s">
        <v>309</v>
      </c>
      <c r="F32" t="s">
        <v>284</v>
      </c>
      <c r="H32" t="s">
        <v>314</v>
      </c>
      <c r="I32">
        <v>11092453</v>
      </c>
      <c r="J32">
        <v>11053616</v>
      </c>
      <c r="K32" s="3">
        <v>0.99649900000000002</v>
      </c>
      <c r="L32">
        <v>5516095</v>
      </c>
      <c r="M32" s="3">
        <v>0.497284</v>
      </c>
      <c r="N32">
        <v>5576358</v>
      </c>
      <c r="O32" s="3">
        <v>0.50271600000000005</v>
      </c>
      <c r="P32">
        <v>0</v>
      </c>
      <c r="Q32" s="3">
        <v>0</v>
      </c>
      <c r="R32">
        <v>0</v>
      </c>
      <c r="S32" s="3">
        <v>0</v>
      </c>
    </row>
    <row r="33" spans="1:19" x14ac:dyDescent="0.3">
      <c r="A33" t="s">
        <v>257</v>
      </c>
      <c r="B33" t="s">
        <v>253</v>
      </c>
      <c r="C33" t="s">
        <v>43</v>
      </c>
      <c r="D33" s="1" t="s">
        <v>293</v>
      </c>
      <c r="E33" s="1" t="s">
        <v>311</v>
      </c>
      <c r="F33" t="s">
        <v>259</v>
      </c>
      <c r="H33" t="s">
        <v>314</v>
      </c>
      <c r="I33">
        <v>16867236</v>
      </c>
      <c r="J33">
        <v>16810020</v>
      </c>
      <c r="K33" s="3">
        <v>0.99660800000000005</v>
      </c>
      <c r="L33">
        <v>8384194</v>
      </c>
      <c r="M33" s="3">
        <v>0.49707000000000001</v>
      </c>
      <c r="N33">
        <v>8384194</v>
      </c>
      <c r="O33" s="3">
        <v>0.49707000000000001</v>
      </c>
      <c r="P33">
        <v>0</v>
      </c>
      <c r="Q33" s="3">
        <v>0</v>
      </c>
      <c r="R33">
        <v>0</v>
      </c>
      <c r="S33" s="3">
        <v>0</v>
      </c>
    </row>
    <row r="34" spans="1:19" x14ac:dyDescent="0.3">
      <c r="A34" t="s">
        <v>257</v>
      </c>
      <c r="B34" t="s">
        <v>253</v>
      </c>
      <c r="C34" t="s">
        <v>43</v>
      </c>
      <c r="D34" s="1" t="s">
        <v>293</v>
      </c>
      <c r="E34" s="1" t="s">
        <v>311</v>
      </c>
      <c r="F34" t="s">
        <v>289</v>
      </c>
      <c r="H34" t="s">
        <v>314</v>
      </c>
      <c r="I34">
        <v>11950970</v>
      </c>
      <c r="J34">
        <v>11910509</v>
      </c>
      <c r="K34" s="3">
        <v>0.996614</v>
      </c>
      <c r="L34">
        <v>5934565</v>
      </c>
      <c r="M34" s="3">
        <v>0.49657600000000002</v>
      </c>
      <c r="N34">
        <v>6016405</v>
      </c>
      <c r="O34" s="3">
        <v>0.50342399999999998</v>
      </c>
      <c r="P34">
        <v>0</v>
      </c>
      <c r="Q34" s="3">
        <v>0</v>
      </c>
      <c r="R34">
        <v>0</v>
      </c>
      <c r="S34" s="3">
        <v>0</v>
      </c>
    </row>
    <row r="35" spans="1:19" x14ac:dyDescent="0.3">
      <c r="A35" t="s">
        <v>257</v>
      </c>
      <c r="B35" t="s">
        <v>253</v>
      </c>
      <c r="C35" t="s">
        <v>43</v>
      </c>
      <c r="D35" s="1" t="s">
        <v>293</v>
      </c>
      <c r="E35" s="1" t="s">
        <v>309</v>
      </c>
      <c r="F35" t="s">
        <v>276</v>
      </c>
      <c r="H35" t="s">
        <v>314</v>
      </c>
      <c r="I35">
        <v>6251886</v>
      </c>
      <c r="J35">
        <v>6230907</v>
      </c>
      <c r="K35" s="3">
        <v>0.99664399999999997</v>
      </c>
      <c r="L35">
        <v>3112744</v>
      </c>
      <c r="M35" s="3">
        <v>0.49788900000000003</v>
      </c>
      <c r="N35">
        <v>3139142</v>
      </c>
      <c r="O35" s="3">
        <v>0.50211099999999997</v>
      </c>
      <c r="P35">
        <v>0</v>
      </c>
      <c r="Q35" s="3">
        <v>0</v>
      </c>
      <c r="R35">
        <v>0</v>
      </c>
      <c r="S35" s="3">
        <v>0</v>
      </c>
    </row>
    <row r="36" spans="1:19" x14ac:dyDescent="0.3">
      <c r="A36" t="s">
        <v>257</v>
      </c>
      <c r="B36" t="s">
        <v>253</v>
      </c>
      <c r="C36" t="s">
        <v>43</v>
      </c>
      <c r="D36" s="1" t="s">
        <v>293</v>
      </c>
      <c r="E36" s="1" t="s">
        <v>311</v>
      </c>
      <c r="F36" t="s">
        <v>290</v>
      </c>
      <c r="H36" t="s">
        <v>314</v>
      </c>
      <c r="I36">
        <v>8608220</v>
      </c>
      <c r="J36">
        <v>8579488</v>
      </c>
      <c r="K36" s="3">
        <v>0.99666200000000005</v>
      </c>
      <c r="L36">
        <v>4256770</v>
      </c>
      <c r="M36" s="3">
        <v>0.49450100000000002</v>
      </c>
      <c r="N36">
        <v>4351450</v>
      </c>
      <c r="O36" s="3">
        <v>0.50549900000000003</v>
      </c>
      <c r="P36">
        <v>0</v>
      </c>
      <c r="Q36" s="3">
        <v>0</v>
      </c>
      <c r="R36">
        <v>0</v>
      </c>
      <c r="S36" s="3">
        <v>0</v>
      </c>
    </row>
    <row r="37" spans="1:19" x14ac:dyDescent="0.3">
      <c r="A37" t="s">
        <v>257</v>
      </c>
      <c r="B37" t="s">
        <v>142</v>
      </c>
      <c r="C37" t="s">
        <v>43</v>
      </c>
      <c r="D37" s="1" t="s">
        <v>293</v>
      </c>
      <c r="E37" s="1" t="s">
        <v>310</v>
      </c>
      <c r="F37" t="s">
        <v>269</v>
      </c>
      <c r="H37" t="s">
        <v>314</v>
      </c>
      <c r="I37">
        <v>10940515</v>
      </c>
      <c r="J37">
        <v>8768350</v>
      </c>
      <c r="K37" s="3">
        <v>0.80100000000000005</v>
      </c>
    </row>
    <row r="38" spans="1:19" x14ac:dyDescent="0.3">
      <c r="A38" t="s">
        <v>257</v>
      </c>
      <c r="B38" t="s">
        <v>142</v>
      </c>
      <c r="C38" t="s">
        <v>43</v>
      </c>
      <c r="D38" s="1" t="s">
        <v>293</v>
      </c>
      <c r="E38" s="1" t="s">
        <v>310</v>
      </c>
      <c r="F38" t="s">
        <v>264</v>
      </c>
      <c r="H38" t="s">
        <v>314</v>
      </c>
      <c r="I38">
        <v>9490220</v>
      </c>
      <c r="J38">
        <v>7705866</v>
      </c>
      <c r="K38" s="3">
        <v>0.81200000000000006</v>
      </c>
    </row>
    <row r="39" spans="1:19" x14ac:dyDescent="0.3">
      <c r="A39" t="s">
        <v>257</v>
      </c>
      <c r="B39" t="s">
        <v>142</v>
      </c>
      <c r="C39" t="s">
        <v>43</v>
      </c>
      <c r="D39" s="1" t="s">
        <v>293</v>
      </c>
      <c r="E39" s="1" t="s">
        <v>311</v>
      </c>
      <c r="F39" t="s">
        <v>261</v>
      </c>
      <c r="H39" t="s">
        <v>314</v>
      </c>
      <c r="I39">
        <v>7305321</v>
      </c>
      <c r="J39">
        <v>5980035</v>
      </c>
      <c r="K39" s="3">
        <v>0.81899999999999995</v>
      </c>
    </row>
    <row r="40" spans="1:19" x14ac:dyDescent="0.3">
      <c r="A40" t="s">
        <v>257</v>
      </c>
      <c r="B40" t="s">
        <v>142</v>
      </c>
      <c r="C40" t="s">
        <v>43</v>
      </c>
      <c r="D40" s="1" t="s">
        <v>293</v>
      </c>
      <c r="E40" s="1" t="s">
        <v>311</v>
      </c>
      <c r="F40" t="s">
        <v>291</v>
      </c>
      <c r="H40" t="s">
        <v>314</v>
      </c>
      <c r="I40">
        <v>6403856</v>
      </c>
      <c r="J40">
        <v>5242560</v>
      </c>
      <c r="K40" s="3">
        <v>0.81899999999999995</v>
      </c>
    </row>
    <row r="41" spans="1:19" x14ac:dyDescent="0.3">
      <c r="A41" t="s">
        <v>257</v>
      </c>
      <c r="B41" t="s">
        <v>142</v>
      </c>
      <c r="C41" t="s">
        <v>43</v>
      </c>
      <c r="D41" s="1" t="s">
        <v>293</v>
      </c>
      <c r="E41" s="1" t="s">
        <v>310</v>
      </c>
      <c r="F41" t="s">
        <v>270</v>
      </c>
      <c r="H41" t="s">
        <v>314</v>
      </c>
      <c r="I41">
        <v>10182684</v>
      </c>
      <c r="J41">
        <v>8346636</v>
      </c>
      <c r="K41" s="3">
        <v>0.82</v>
      </c>
    </row>
    <row r="42" spans="1:19" x14ac:dyDescent="0.3">
      <c r="A42" t="s">
        <v>257</v>
      </c>
      <c r="B42" t="s">
        <v>142</v>
      </c>
      <c r="C42" t="s">
        <v>43</v>
      </c>
      <c r="D42" s="1" t="s">
        <v>293</v>
      </c>
      <c r="E42" s="1" t="s">
        <v>310</v>
      </c>
      <c r="F42" t="s">
        <v>265</v>
      </c>
      <c r="H42" t="s">
        <v>314</v>
      </c>
      <c r="I42">
        <v>13814220</v>
      </c>
      <c r="J42">
        <v>11364305</v>
      </c>
      <c r="K42" s="3">
        <v>0.82299999999999995</v>
      </c>
    </row>
    <row r="43" spans="1:19" x14ac:dyDescent="0.3">
      <c r="A43" t="s">
        <v>257</v>
      </c>
      <c r="B43" t="s">
        <v>142</v>
      </c>
      <c r="C43" t="s">
        <v>43</v>
      </c>
      <c r="D43" s="1" t="s">
        <v>293</v>
      </c>
      <c r="E43" s="1" t="s">
        <v>310</v>
      </c>
      <c r="F43" t="s">
        <v>266</v>
      </c>
      <c r="H43" t="s">
        <v>314</v>
      </c>
      <c r="I43">
        <v>13273791</v>
      </c>
      <c r="J43">
        <v>10970675</v>
      </c>
      <c r="K43" s="3">
        <v>0.82599999999999996</v>
      </c>
    </row>
    <row r="44" spans="1:19" x14ac:dyDescent="0.3">
      <c r="A44" t="s">
        <v>257</v>
      </c>
      <c r="B44" t="s">
        <v>142</v>
      </c>
      <c r="C44" t="s">
        <v>43</v>
      </c>
      <c r="D44" s="1" t="s">
        <v>293</v>
      </c>
      <c r="E44" s="1" t="s">
        <v>310</v>
      </c>
      <c r="F44" t="s">
        <v>267</v>
      </c>
      <c r="H44" t="s">
        <v>314</v>
      </c>
      <c r="I44">
        <v>12236373</v>
      </c>
      <c r="J44">
        <v>10125741</v>
      </c>
      <c r="K44" s="3">
        <v>0.82799999999999996</v>
      </c>
    </row>
    <row r="45" spans="1:19" x14ac:dyDescent="0.3">
      <c r="A45" t="s">
        <v>257</v>
      </c>
      <c r="B45" t="s">
        <v>142</v>
      </c>
      <c r="C45" t="s">
        <v>43</v>
      </c>
      <c r="D45" s="1" t="s">
        <v>293</v>
      </c>
      <c r="E45" s="1" t="s">
        <v>310</v>
      </c>
      <c r="F45" t="s">
        <v>268</v>
      </c>
      <c r="H45" t="s">
        <v>314</v>
      </c>
      <c r="I45">
        <v>18598550</v>
      </c>
      <c r="J45">
        <v>15445606</v>
      </c>
      <c r="K45" s="3">
        <v>0.83</v>
      </c>
    </row>
    <row r="46" spans="1:19" x14ac:dyDescent="0.3">
      <c r="A46" t="s">
        <v>257</v>
      </c>
      <c r="B46" t="s">
        <v>142</v>
      </c>
      <c r="C46" t="s">
        <v>43</v>
      </c>
      <c r="D46" s="1" t="s">
        <v>293</v>
      </c>
      <c r="E46" s="1" t="s">
        <v>311</v>
      </c>
      <c r="F46" t="s">
        <v>263</v>
      </c>
      <c r="H46" t="s">
        <v>314</v>
      </c>
      <c r="I46">
        <v>9036715</v>
      </c>
      <c r="J46">
        <v>7512030</v>
      </c>
      <c r="K46" s="3">
        <v>0.83099999999999996</v>
      </c>
    </row>
    <row r="47" spans="1:19" x14ac:dyDescent="0.3">
      <c r="A47" t="s">
        <v>257</v>
      </c>
      <c r="B47" t="s">
        <v>142</v>
      </c>
      <c r="C47" t="s">
        <v>43</v>
      </c>
      <c r="D47" s="1" t="s">
        <v>293</v>
      </c>
      <c r="E47" s="1" t="s">
        <v>309</v>
      </c>
      <c r="F47" t="s">
        <v>283</v>
      </c>
      <c r="H47" t="s">
        <v>314</v>
      </c>
      <c r="I47">
        <v>13137432</v>
      </c>
      <c r="J47">
        <v>10979030</v>
      </c>
      <c r="K47" s="3">
        <v>0.83599999999999997</v>
      </c>
    </row>
    <row r="48" spans="1:19" x14ac:dyDescent="0.3">
      <c r="A48" t="s">
        <v>257</v>
      </c>
      <c r="B48" t="s">
        <v>142</v>
      </c>
      <c r="C48" t="s">
        <v>43</v>
      </c>
      <c r="D48" s="1" t="s">
        <v>293</v>
      </c>
      <c r="E48" s="1" t="s">
        <v>311</v>
      </c>
      <c r="F48" t="s">
        <v>292</v>
      </c>
      <c r="H48" t="s">
        <v>314</v>
      </c>
      <c r="I48">
        <v>4821938</v>
      </c>
      <c r="J48">
        <v>4035862</v>
      </c>
      <c r="K48" s="3">
        <v>0.83699999999999997</v>
      </c>
    </row>
    <row r="49" spans="1:11" x14ac:dyDescent="0.3">
      <c r="A49" t="s">
        <v>257</v>
      </c>
      <c r="B49" t="s">
        <v>142</v>
      </c>
      <c r="C49" t="s">
        <v>43</v>
      </c>
      <c r="D49" s="1" t="s">
        <v>293</v>
      </c>
      <c r="E49" s="1" t="s">
        <v>311</v>
      </c>
      <c r="F49" t="s">
        <v>260</v>
      </c>
      <c r="H49" t="s">
        <v>314</v>
      </c>
      <c r="I49">
        <v>12203058</v>
      </c>
      <c r="J49">
        <v>10227581</v>
      </c>
      <c r="K49" s="3">
        <v>0.83799999999999997</v>
      </c>
    </row>
    <row r="50" spans="1:11" x14ac:dyDescent="0.3">
      <c r="A50" t="s">
        <v>257</v>
      </c>
      <c r="B50" t="s">
        <v>142</v>
      </c>
      <c r="C50" t="s">
        <v>43</v>
      </c>
      <c r="D50" s="1" t="s">
        <v>293</v>
      </c>
      <c r="E50" s="1" t="s">
        <v>310</v>
      </c>
      <c r="F50" t="s">
        <v>273</v>
      </c>
      <c r="H50" t="s">
        <v>314</v>
      </c>
      <c r="I50">
        <v>11287505</v>
      </c>
      <c r="J50">
        <v>9459828</v>
      </c>
      <c r="K50" s="3">
        <v>0.83799999999999997</v>
      </c>
    </row>
    <row r="51" spans="1:11" x14ac:dyDescent="0.3">
      <c r="A51" t="s">
        <v>257</v>
      </c>
      <c r="B51" t="s">
        <v>142</v>
      </c>
      <c r="C51" t="s">
        <v>43</v>
      </c>
      <c r="D51" s="1" t="s">
        <v>293</v>
      </c>
      <c r="E51" s="1" t="s">
        <v>309</v>
      </c>
      <c r="F51" t="s">
        <v>281</v>
      </c>
      <c r="H51" t="s">
        <v>314</v>
      </c>
      <c r="I51">
        <v>9405421</v>
      </c>
      <c r="J51">
        <v>7923433</v>
      </c>
      <c r="K51" s="3">
        <v>0.84199999999999997</v>
      </c>
    </row>
    <row r="52" spans="1:11" x14ac:dyDescent="0.3">
      <c r="A52" t="s">
        <v>257</v>
      </c>
      <c r="B52" t="s">
        <v>142</v>
      </c>
      <c r="C52" t="s">
        <v>43</v>
      </c>
      <c r="D52" s="1" t="s">
        <v>293</v>
      </c>
      <c r="E52" s="1" t="s">
        <v>311</v>
      </c>
      <c r="F52" t="s">
        <v>286</v>
      </c>
      <c r="H52" t="s">
        <v>314</v>
      </c>
      <c r="I52">
        <v>6546327</v>
      </c>
      <c r="J52">
        <v>5517572</v>
      </c>
      <c r="K52" s="3">
        <v>0.84299999999999997</v>
      </c>
    </row>
    <row r="53" spans="1:11" x14ac:dyDescent="0.3">
      <c r="A53" t="s">
        <v>257</v>
      </c>
      <c r="B53" t="s">
        <v>142</v>
      </c>
      <c r="C53" t="s">
        <v>43</v>
      </c>
      <c r="D53" s="1" t="s">
        <v>293</v>
      </c>
      <c r="E53" s="1" t="s">
        <v>310</v>
      </c>
      <c r="F53" t="s">
        <v>271</v>
      </c>
      <c r="H53" t="s">
        <v>314</v>
      </c>
      <c r="I53">
        <v>14854389</v>
      </c>
      <c r="J53">
        <v>12536798</v>
      </c>
      <c r="K53" s="3">
        <v>0.84399999999999997</v>
      </c>
    </row>
    <row r="54" spans="1:11" x14ac:dyDescent="0.3">
      <c r="A54" t="s">
        <v>257</v>
      </c>
      <c r="B54" t="s">
        <v>142</v>
      </c>
      <c r="C54" t="s">
        <v>43</v>
      </c>
      <c r="D54" s="1" t="s">
        <v>293</v>
      </c>
      <c r="E54" s="1" t="s">
        <v>311</v>
      </c>
      <c r="F54" t="s">
        <v>290</v>
      </c>
      <c r="H54" t="s">
        <v>314</v>
      </c>
      <c r="I54">
        <v>8604458</v>
      </c>
      <c r="J54">
        <v>7264006</v>
      </c>
      <c r="K54" s="3">
        <v>0.84399999999999997</v>
      </c>
    </row>
    <row r="55" spans="1:11" x14ac:dyDescent="0.3">
      <c r="A55" t="s">
        <v>257</v>
      </c>
      <c r="B55" t="s">
        <v>142</v>
      </c>
      <c r="C55" t="s">
        <v>43</v>
      </c>
      <c r="D55" s="1" t="s">
        <v>293</v>
      </c>
      <c r="E55" s="1" t="s">
        <v>309</v>
      </c>
      <c r="F55" t="s">
        <v>279</v>
      </c>
      <c r="H55" t="s">
        <v>314</v>
      </c>
      <c r="I55">
        <v>8665027</v>
      </c>
      <c r="J55">
        <v>7326467</v>
      </c>
      <c r="K55" s="3">
        <v>0.84599999999999997</v>
      </c>
    </row>
    <row r="56" spans="1:11" x14ac:dyDescent="0.3">
      <c r="A56" t="s">
        <v>257</v>
      </c>
      <c r="B56" t="s">
        <v>142</v>
      </c>
      <c r="C56" t="s">
        <v>43</v>
      </c>
      <c r="D56" s="1" t="s">
        <v>293</v>
      </c>
      <c r="E56" s="1" t="s">
        <v>311</v>
      </c>
      <c r="F56" t="s">
        <v>262</v>
      </c>
      <c r="H56" t="s">
        <v>314</v>
      </c>
      <c r="I56">
        <v>7263703</v>
      </c>
      <c r="J56">
        <v>6151675</v>
      </c>
      <c r="K56" s="3">
        <v>0.84699999999999998</v>
      </c>
    </row>
    <row r="57" spans="1:11" x14ac:dyDescent="0.3">
      <c r="A57" t="s">
        <v>257</v>
      </c>
      <c r="B57" t="s">
        <v>142</v>
      </c>
      <c r="C57" t="s">
        <v>43</v>
      </c>
      <c r="D57" s="1" t="s">
        <v>293</v>
      </c>
      <c r="E57" s="1" t="s">
        <v>309</v>
      </c>
      <c r="F57" t="s">
        <v>274</v>
      </c>
      <c r="H57" t="s">
        <v>314</v>
      </c>
      <c r="I57">
        <v>9845126</v>
      </c>
      <c r="J57">
        <v>8363410</v>
      </c>
      <c r="K57" s="3">
        <v>0.84899999999999998</v>
      </c>
    </row>
    <row r="58" spans="1:11" x14ac:dyDescent="0.3">
      <c r="A58" t="s">
        <v>257</v>
      </c>
      <c r="B58" t="s">
        <v>142</v>
      </c>
      <c r="C58" t="s">
        <v>43</v>
      </c>
      <c r="D58" s="1" t="s">
        <v>293</v>
      </c>
      <c r="E58" s="1" t="s">
        <v>309</v>
      </c>
      <c r="F58" t="s">
        <v>278</v>
      </c>
      <c r="H58" t="s">
        <v>314</v>
      </c>
      <c r="I58">
        <v>8583600</v>
      </c>
      <c r="J58">
        <v>7288346</v>
      </c>
      <c r="K58" s="3">
        <v>0.84899999999999998</v>
      </c>
    </row>
    <row r="59" spans="1:11" x14ac:dyDescent="0.3">
      <c r="A59" t="s">
        <v>257</v>
      </c>
      <c r="B59" t="s">
        <v>142</v>
      </c>
      <c r="C59" t="s">
        <v>43</v>
      </c>
      <c r="D59" s="1" t="s">
        <v>293</v>
      </c>
      <c r="E59" s="1" t="s">
        <v>310</v>
      </c>
      <c r="F59" t="s">
        <v>272</v>
      </c>
      <c r="H59" t="s">
        <v>314</v>
      </c>
      <c r="I59">
        <v>10966037</v>
      </c>
      <c r="J59">
        <v>9352014</v>
      </c>
      <c r="K59" s="3">
        <v>0.85299999999999998</v>
      </c>
    </row>
    <row r="60" spans="1:11" x14ac:dyDescent="0.3">
      <c r="A60" t="s">
        <v>257</v>
      </c>
      <c r="B60" t="s">
        <v>142</v>
      </c>
      <c r="C60" t="s">
        <v>43</v>
      </c>
      <c r="D60" s="1" t="s">
        <v>293</v>
      </c>
      <c r="E60" s="1" t="s">
        <v>309</v>
      </c>
      <c r="F60" t="s">
        <v>277</v>
      </c>
      <c r="H60" t="s">
        <v>314</v>
      </c>
      <c r="I60">
        <v>12889503</v>
      </c>
      <c r="J60">
        <v>10999814</v>
      </c>
      <c r="K60" s="3">
        <v>0.85299999999999998</v>
      </c>
    </row>
    <row r="61" spans="1:11" x14ac:dyDescent="0.3">
      <c r="A61" t="s">
        <v>257</v>
      </c>
      <c r="B61" t="s">
        <v>142</v>
      </c>
      <c r="C61" t="s">
        <v>43</v>
      </c>
      <c r="D61" s="1" t="s">
        <v>293</v>
      </c>
      <c r="E61" s="1" t="s">
        <v>309</v>
      </c>
      <c r="F61" t="s">
        <v>275</v>
      </c>
      <c r="H61" t="s">
        <v>314</v>
      </c>
      <c r="I61">
        <v>14872806</v>
      </c>
      <c r="J61">
        <v>12700827</v>
      </c>
      <c r="K61" s="3">
        <v>0.85399999999999998</v>
      </c>
    </row>
    <row r="62" spans="1:11" x14ac:dyDescent="0.3">
      <c r="A62" t="s">
        <v>257</v>
      </c>
      <c r="B62" t="s">
        <v>142</v>
      </c>
      <c r="C62" t="s">
        <v>43</v>
      </c>
      <c r="D62" s="1" t="s">
        <v>293</v>
      </c>
      <c r="E62" s="1" t="s">
        <v>311</v>
      </c>
      <c r="F62" t="s">
        <v>289</v>
      </c>
      <c r="H62" t="s">
        <v>314</v>
      </c>
      <c r="I62">
        <v>11946696</v>
      </c>
      <c r="J62">
        <v>10207020</v>
      </c>
      <c r="K62" s="3">
        <v>0.85399999999999998</v>
      </c>
    </row>
    <row r="63" spans="1:11" x14ac:dyDescent="0.3">
      <c r="A63" t="s">
        <v>257</v>
      </c>
      <c r="B63" t="s">
        <v>142</v>
      </c>
      <c r="C63" t="s">
        <v>43</v>
      </c>
      <c r="D63" s="1" t="s">
        <v>293</v>
      </c>
      <c r="E63" t="s">
        <v>310</v>
      </c>
      <c r="F63" t="s">
        <v>258</v>
      </c>
      <c r="H63" t="s">
        <v>314</v>
      </c>
      <c r="I63">
        <v>8875776</v>
      </c>
      <c r="J63">
        <v>7592725</v>
      </c>
      <c r="K63" s="3">
        <v>0.85499999999999998</v>
      </c>
    </row>
    <row r="64" spans="1:11" x14ac:dyDescent="0.3">
      <c r="A64" t="s">
        <v>257</v>
      </c>
      <c r="B64" t="s">
        <v>142</v>
      </c>
      <c r="C64" t="s">
        <v>43</v>
      </c>
      <c r="D64" s="1" t="s">
        <v>293</v>
      </c>
      <c r="E64" s="1" t="s">
        <v>309</v>
      </c>
      <c r="F64" t="s">
        <v>280</v>
      </c>
      <c r="H64" t="s">
        <v>314</v>
      </c>
      <c r="I64">
        <v>15781894</v>
      </c>
      <c r="J64">
        <v>13496662</v>
      </c>
      <c r="K64" s="3">
        <v>0.85499999999999998</v>
      </c>
    </row>
    <row r="65" spans="1:11" x14ac:dyDescent="0.3">
      <c r="A65" t="s">
        <v>257</v>
      </c>
      <c r="B65" t="s">
        <v>142</v>
      </c>
      <c r="C65" t="s">
        <v>43</v>
      </c>
      <c r="D65" s="1" t="s">
        <v>293</v>
      </c>
      <c r="E65" s="1" t="s">
        <v>311</v>
      </c>
      <c r="F65" t="s">
        <v>259</v>
      </c>
      <c r="H65" t="s">
        <v>314</v>
      </c>
      <c r="I65">
        <v>16860620</v>
      </c>
      <c r="J65">
        <v>14438077</v>
      </c>
      <c r="K65" s="3">
        <v>0.85599999999999998</v>
      </c>
    </row>
    <row r="66" spans="1:11" x14ac:dyDescent="0.3">
      <c r="A66" t="s">
        <v>257</v>
      </c>
      <c r="B66" t="s">
        <v>142</v>
      </c>
      <c r="C66" t="s">
        <v>43</v>
      </c>
      <c r="D66" s="1" t="s">
        <v>293</v>
      </c>
      <c r="E66" s="1" t="s">
        <v>309</v>
      </c>
      <c r="F66" t="s">
        <v>285</v>
      </c>
      <c r="H66" t="s">
        <v>314</v>
      </c>
      <c r="I66">
        <v>7742252</v>
      </c>
      <c r="J66">
        <v>6628219</v>
      </c>
      <c r="K66" s="3">
        <v>0.85599999999999998</v>
      </c>
    </row>
    <row r="67" spans="1:11" x14ac:dyDescent="0.3">
      <c r="A67" t="s">
        <v>257</v>
      </c>
      <c r="B67" t="s">
        <v>142</v>
      </c>
      <c r="C67" t="s">
        <v>43</v>
      </c>
      <c r="D67" s="1" t="s">
        <v>293</v>
      </c>
      <c r="E67" s="1" t="s">
        <v>309</v>
      </c>
      <c r="F67" t="s">
        <v>276</v>
      </c>
      <c r="H67" t="s">
        <v>314</v>
      </c>
      <c r="I67">
        <v>6249406</v>
      </c>
      <c r="J67">
        <v>5358698</v>
      </c>
      <c r="K67" s="3">
        <v>0.85699999999999998</v>
      </c>
    </row>
    <row r="68" spans="1:11" x14ac:dyDescent="0.3">
      <c r="A68" t="s">
        <v>257</v>
      </c>
      <c r="B68" t="s">
        <v>142</v>
      </c>
      <c r="C68" t="s">
        <v>43</v>
      </c>
      <c r="D68" s="1" t="s">
        <v>293</v>
      </c>
      <c r="E68" s="1" t="s">
        <v>309</v>
      </c>
      <c r="F68" t="s">
        <v>284</v>
      </c>
      <c r="H68" t="s">
        <v>314</v>
      </c>
      <c r="I68">
        <v>11088125</v>
      </c>
      <c r="J68">
        <v>9504772</v>
      </c>
      <c r="K68" s="3">
        <v>0.85699999999999998</v>
      </c>
    </row>
    <row r="69" spans="1:11" x14ac:dyDescent="0.3">
      <c r="A69" t="s">
        <v>257</v>
      </c>
      <c r="B69" t="s">
        <v>142</v>
      </c>
      <c r="C69" t="s">
        <v>43</v>
      </c>
      <c r="D69" s="1" t="s">
        <v>293</v>
      </c>
      <c r="E69" s="1" t="s">
        <v>311</v>
      </c>
      <c r="F69" t="s">
        <v>287</v>
      </c>
      <c r="H69" t="s">
        <v>314</v>
      </c>
      <c r="I69">
        <v>14897345</v>
      </c>
      <c r="J69">
        <v>12804188</v>
      </c>
      <c r="K69" s="3">
        <v>0.85899999999999999</v>
      </c>
    </row>
    <row r="70" spans="1:11" x14ac:dyDescent="0.3">
      <c r="A70" t="s">
        <v>257</v>
      </c>
      <c r="B70" t="s">
        <v>142</v>
      </c>
      <c r="C70" t="s">
        <v>43</v>
      </c>
      <c r="D70" s="1" t="s">
        <v>293</v>
      </c>
      <c r="E70" s="1" t="s">
        <v>309</v>
      </c>
      <c r="F70" t="s">
        <v>282</v>
      </c>
      <c r="H70" t="s">
        <v>314</v>
      </c>
      <c r="I70">
        <v>11729994</v>
      </c>
      <c r="J70">
        <v>10116277</v>
      </c>
      <c r="K70" s="3">
        <v>0.86199999999999999</v>
      </c>
    </row>
    <row r="71" spans="1:11" x14ac:dyDescent="0.3">
      <c r="A71" t="s">
        <v>257</v>
      </c>
      <c r="B71" t="s">
        <v>142</v>
      </c>
      <c r="C71" t="s">
        <v>43</v>
      </c>
      <c r="D71" s="1" t="s">
        <v>293</v>
      </c>
      <c r="E71" s="1" t="s">
        <v>311</v>
      </c>
      <c r="F71" t="s">
        <v>288</v>
      </c>
      <c r="H71" t="s">
        <v>314</v>
      </c>
      <c r="I71">
        <v>17198263</v>
      </c>
      <c r="J71">
        <v>14852681</v>
      </c>
      <c r="K71" s="3">
        <v>0.86399999999999999</v>
      </c>
    </row>
    <row r="72" spans="1:11" x14ac:dyDescent="0.3">
      <c r="A72" t="s">
        <v>257</v>
      </c>
      <c r="B72" t="s">
        <v>254</v>
      </c>
      <c r="C72" t="s">
        <v>43</v>
      </c>
      <c r="D72" s="1" t="s">
        <v>293</v>
      </c>
      <c r="E72" s="1" t="s">
        <v>310</v>
      </c>
      <c r="F72" t="s">
        <v>269</v>
      </c>
      <c r="H72" t="s">
        <v>314</v>
      </c>
      <c r="I72">
        <v>10940515</v>
      </c>
      <c r="J72">
        <v>8886096</v>
      </c>
      <c r="K72" s="3">
        <v>0.81200000000000006</v>
      </c>
    </row>
    <row r="73" spans="1:11" x14ac:dyDescent="0.3">
      <c r="A73" t="s">
        <v>257</v>
      </c>
      <c r="B73" t="s">
        <v>254</v>
      </c>
      <c r="C73" t="s">
        <v>43</v>
      </c>
      <c r="D73" s="1" t="s">
        <v>293</v>
      </c>
      <c r="E73" s="1" t="s">
        <v>310</v>
      </c>
      <c r="F73" t="s">
        <v>264</v>
      </c>
      <c r="H73" t="s">
        <v>314</v>
      </c>
      <c r="I73">
        <v>9490220</v>
      </c>
      <c r="J73">
        <v>7808460</v>
      </c>
      <c r="K73" s="3">
        <v>0.82299999999999995</v>
      </c>
    </row>
    <row r="74" spans="1:11" x14ac:dyDescent="0.3">
      <c r="A74" t="s">
        <v>257</v>
      </c>
      <c r="B74" t="s">
        <v>254</v>
      </c>
      <c r="C74" t="s">
        <v>43</v>
      </c>
      <c r="D74" s="1" t="s">
        <v>293</v>
      </c>
      <c r="E74" s="1" t="s">
        <v>311</v>
      </c>
      <c r="F74" t="s">
        <v>261</v>
      </c>
      <c r="H74" t="s">
        <v>314</v>
      </c>
      <c r="I74">
        <v>7305321</v>
      </c>
      <c r="J74">
        <v>6061599</v>
      </c>
      <c r="K74" s="3">
        <v>0.83</v>
      </c>
    </row>
    <row r="75" spans="1:11" x14ac:dyDescent="0.3">
      <c r="A75" t="s">
        <v>257</v>
      </c>
      <c r="B75" t="s">
        <v>254</v>
      </c>
      <c r="C75" t="s">
        <v>43</v>
      </c>
      <c r="D75" s="1" t="s">
        <v>293</v>
      </c>
      <c r="E75" s="1" t="s">
        <v>311</v>
      </c>
      <c r="F75" t="s">
        <v>291</v>
      </c>
      <c r="H75" t="s">
        <v>314</v>
      </c>
      <c r="I75">
        <v>6403856</v>
      </c>
      <c r="J75">
        <v>5314092</v>
      </c>
      <c r="K75" s="3">
        <v>0.83</v>
      </c>
    </row>
    <row r="76" spans="1:11" x14ac:dyDescent="0.3">
      <c r="A76" t="s">
        <v>257</v>
      </c>
      <c r="B76" t="s">
        <v>254</v>
      </c>
      <c r="C76" t="s">
        <v>43</v>
      </c>
      <c r="D76" s="1" t="s">
        <v>293</v>
      </c>
      <c r="E76" s="1" t="s">
        <v>310</v>
      </c>
      <c r="F76" t="s">
        <v>270</v>
      </c>
      <c r="H76" t="s">
        <v>314</v>
      </c>
      <c r="I76">
        <v>10182684</v>
      </c>
      <c r="J76">
        <v>8463615</v>
      </c>
      <c r="K76" s="3">
        <v>0.83099999999999996</v>
      </c>
    </row>
    <row r="77" spans="1:11" x14ac:dyDescent="0.3">
      <c r="A77" t="s">
        <v>257</v>
      </c>
      <c r="B77" t="s">
        <v>254</v>
      </c>
      <c r="C77" t="s">
        <v>43</v>
      </c>
      <c r="D77" s="1" t="s">
        <v>293</v>
      </c>
      <c r="E77" s="1" t="s">
        <v>310</v>
      </c>
      <c r="F77" t="s">
        <v>265</v>
      </c>
      <c r="H77" t="s">
        <v>314</v>
      </c>
      <c r="I77">
        <v>13814220</v>
      </c>
      <c r="J77">
        <v>11500331</v>
      </c>
      <c r="K77" s="3">
        <v>0.83199999999999996</v>
      </c>
    </row>
    <row r="78" spans="1:11" x14ac:dyDescent="0.3">
      <c r="A78" t="s">
        <v>257</v>
      </c>
      <c r="B78" t="s">
        <v>254</v>
      </c>
      <c r="C78" t="s">
        <v>43</v>
      </c>
      <c r="D78" s="1" t="s">
        <v>293</v>
      </c>
      <c r="E78" s="1" t="s">
        <v>310</v>
      </c>
      <c r="F78" t="s">
        <v>266</v>
      </c>
      <c r="H78" t="s">
        <v>314</v>
      </c>
      <c r="I78">
        <v>13273791</v>
      </c>
      <c r="J78">
        <v>11103827</v>
      </c>
      <c r="K78" s="3">
        <v>0.83699999999999997</v>
      </c>
    </row>
    <row r="79" spans="1:11" x14ac:dyDescent="0.3">
      <c r="A79" t="s">
        <v>257</v>
      </c>
      <c r="B79" t="s">
        <v>254</v>
      </c>
      <c r="C79" t="s">
        <v>43</v>
      </c>
      <c r="D79" s="1" t="s">
        <v>293</v>
      </c>
      <c r="E79" s="1" t="s">
        <v>310</v>
      </c>
      <c r="F79" t="s">
        <v>267</v>
      </c>
      <c r="H79" t="s">
        <v>314</v>
      </c>
      <c r="I79">
        <v>12236373</v>
      </c>
      <c r="J79">
        <v>10264245</v>
      </c>
      <c r="K79" s="3">
        <v>0.83899999999999997</v>
      </c>
    </row>
    <row r="80" spans="1:11" x14ac:dyDescent="0.3">
      <c r="A80" t="s">
        <v>257</v>
      </c>
      <c r="B80" t="s">
        <v>254</v>
      </c>
      <c r="C80" t="s">
        <v>43</v>
      </c>
      <c r="D80" s="1" t="s">
        <v>293</v>
      </c>
      <c r="E80" s="1" t="s">
        <v>310</v>
      </c>
      <c r="F80" t="s">
        <v>268</v>
      </c>
      <c r="H80" t="s">
        <v>314</v>
      </c>
      <c r="I80">
        <v>18598550</v>
      </c>
      <c r="J80">
        <v>15632842</v>
      </c>
      <c r="K80" s="3">
        <v>0.84099999999999997</v>
      </c>
    </row>
    <row r="81" spans="1:11" x14ac:dyDescent="0.3">
      <c r="A81" t="s">
        <v>257</v>
      </c>
      <c r="B81" t="s">
        <v>254</v>
      </c>
      <c r="C81" t="s">
        <v>43</v>
      </c>
      <c r="D81" s="1" t="s">
        <v>293</v>
      </c>
      <c r="E81" s="1" t="s">
        <v>311</v>
      </c>
      <c r="F81" t="s">
        <v>263</v>
      </c>
      <c r="H81" t="s">
        <v>314</v>
      </c>
      <c r="I81">
        <v>9036715</v>
      </c>
      <c r="J81">
        <v>7611951</v>
      </c>
      <c r="K81" s="3">
        <v>0.84199999999999997</v>
      </c>
    </row>
    <row r="82" spans="1:11" x14ac:dyDescent="0.3">
      <c r="A82" t="s">
        <v>257</v>
      </c>
      <c r="B82" t="s">
        <v>254</v>
      </c>
      <c r="C82" t="s">
        <v>43</v>
      </c>
      <c r="D82" s="1" t="s">
        <v>293</v>
      </c>
      <c r="E82" s="1" t="s">
        <v>309</v>
      </c>
      <c r="F82" t="s">
        <v>283</v>
      </c>
      <c r="H82" t="s">
        <v>314</v>
      </c>
      <c r="I82">
        <v>13137432</v>
      </c>
      <c r="J82">
        <v>11124733</v>
      </c>
      <c r="K82" s="3">
        <v>0.84699999999999998</v>
      </c>
    </row>
    <row r="83" spans="1:11" x14ac:dyDescent="0.3">
      <c r="A83" t="s">
        <v>257</v>
      </c>
      <c r="B83" t="s">
        <v>254</v>
      </c>
      <c r="C83" t="s">
        <v>43</v>
      </c>
      <c r="D83" s="1" t="s">
        <v>293</v>
      </c>
      <c r="E83" s="1" t="s">
        <v>311</v>
      </c>
      <c r="F83" t="s">
        <v>292</v>
      </c>
      <c r="H83" t="s">
        <v>314</v>
      </c>
      <c r="I83">
        <v>4821938</v>
      </c>
      <c r="J83">
        <v>4091316</v>
      </c>
      <c r="K83" s="3">
        <v>0.84799999999999998</v>
      </c>
    </row>
    <row r="84" spans="1:11" x14ac:dyDescent="0.3">
      <c r="A84" t="s">
        <v>257</v>
      </c>
      <c r="B84" t="s">
        <v>254</v>
      </c>
      <c r="C84" t="s">
        <v>43</v>
      </c>
      <c r="D84" s="1" t="s">
        <v>293</v>
      </c>
      <c r="E84" s="1" t="s">
        <v>311</v>
      </c>
      <c r="F84" t="s">
        <v>260</v>
      </c>
      <c r="H84" t="s">
        <v>314</v>
      </c>
      <c r="I84">
        <v>12203058</v>
      </c>
      <c r="J84">
        <v>10358809</v>
      </c>
      <c r="K84" s="3">
        <v>0.84899999999999998</v>
      </c>
    </row>
    <row r="85" spans="1:11" x14ac:dyDescent="0.3">
      <c r="A85" t="s">
        <v>257</v>
      </c>
      <c r="B85" t="s">
        <v>254</v>
      </c>
      <c r="C85" t="s">
        <v>43</v>
      </c>
      <c r="D85" s="1" t="s">
        <v>293</v>
      </c>
      <c r="E85" s="1" t="s">
        <v>310</v>
      </c>
      <c r="F85" t="s">
        <v>273</v>
      </c>
      <c r="H85" t="s">
        <v>314</v>
      </c>
      <c r="I85">
        <v>11287505</v>
      </c>
      <c r="J85">
        <v>9580924</v>
      </c>
      <c r="K85" s="3">
        <v>0.84899999999999998</v>
      </c>
    </row>
    <row r="86" spans="1:11" x14ac:dyDescent="0.3">
      <c r="A86" t="s">
        <v>257</v>
      </c>
      <c r="B86" t="s">
        <v>254</v>
      </c>
      <c r="C86" t="s">
        <v>43</v>
      </c>
      <c r="D86" s="1" t="s">
        <v>293</v>
      </c>
      <c r="E86" s="1" t="s">
        <v>309</v>
      </c>
      <c r="F86" t="s">
        <v>281</v>
      </c>
      <c r="H86" t="s">
        <v>314</v>
      </c>
      <c r="I86">
        <v>9405421</v>
      </c>
      <c r="J86">
        <v>8018047</v>
      </c>
      <c r="K86" s="3">
        <v>0.85199999999999998</v>
      </c>
    </row>
    <row r="87" spans="1:11" x14ac:dyDescent="0.3">
      <c r="A87" t="s">
        <v>257</v>
      </c>
      <c r="B87" t="s">
        <v>254</v>
      </c>
      <c r="C87" t="s">
        <v>43</v>
      </c>
      <c r="D87" s="1" t="s">
        <v>293</v>
      </c>
      <c r="E87" s="1" t="s">
        <v>311</v>
      </c>
      <c r="F87" t="s">
        <v>286</v>
      </c>
      <c r="H87" t="s">
        <v>314</v>
      </c>
      <c r="I87">
        <v>6546327</v>
      </c>
      <c r="J87">
        <v>5579765</v>
      </c>
      <c r="K87" s="3">
        <v>0.85199999999999998</v>
      </c>
    </row>
    <row r="88" spans="1:11" x14ac:dyDescent="0.3">
      <c r="A88" t="s">
        <v>257</v>
      </c>
      <c r="B88" t="s">
        <v>254</v>
      </c>
      <c r="C88" t="s">
        <v>43</v>
      </c>
      <c r="D88" s="1" t="s">
        <v>293</v>
      </c>
      <c r="E88" s="1" t="s">
        <v>310</v>
      </c>
      <c r="F88" t="s">
        <v>271</v>
      </c>
      <c r="H88" t="s">
        <v>314</v>
      </c>
      <c r="I88">
        <v>14854389</v>
      </c>
      <c r="J88">
        <v>12689817</v>
      </c>
      <c r="K88" s="3">
        <v>0.85399999999999998</v>
      </c>
    </row>
    <row r="89" spans="1:11" x14ac:dyDescent="0.3">
      <c r="A89" t="s">
        <v>257</v>
      </c>
      <c r="B89" t="s">
        <v>254</v>
      </c>
      <c r="C89" t="s">
        <v>43</v>
      </c>
      <c r="D89" s="1" t="s">
        <v>293</v>
      </c>
      <c r="E89" s="1" t="s">
        <v>311</v>
      </c>
      <c r="F89" t="s">
        <v>290</v>
      </c>
      <c r="H89" t="s">
        <v>314</v>
      </c>
      <c r="I89">
        <v>8604458</v>
      </c>
      <c r="J89">
        <v>7354085</v>
      </c>
      <c r="K89" s="3">
        <v>0.85499999999999998</v>
      </c>
    </row>
    <row r="90" spans="1:11" x14ac:dyDescent="0.3">
      <c r="A90" t="s">
        <v>257</v>
      </c>
      <c r="B90" t="s">
        <v>254</v>
      </c>
      <c r="C90" t="s">
        <v>43</v>
      </c>
      <c r="D90" s="1" t="s">
        <v>293</v>
      </c>
      <c r="E90" s="1" t="s">
        <v>311</v>
      </c>
      <c r="F90" t="s">
        <v>262</v>
      </c>
      <c r="H90" t="s">
        <v>314</v>
      </c>
      <c r="I90">
        <v>7263703</v>
      </c>
      <c r="J90">
        <v>6227697</v>
      </c>
      <c r="K90" s="3">
        <v>0.85699999999999998</v>
      </c>
    </row>
    <row r="91" spans="1:11" x14ac:dyDescent="0.3">
      <c r="A91" t="s">
        <v>257</v>
      </c>
      <c r="B91" t="s">
        <v>254</v>
      </c>
      <c r="C91" t="s">
        <v>43</v>
      </c>
      <c r="D91" s="1" t="s">
        <v>293</v>
      </c>
      <c r="E91" s="1" t="s">
        <v>309</v>
      </c>
      <c r="F91" t="s">
        <v>279</v>
      </c>
      <c r="H91" t="s">
        <v>314</v>
      </c>
      <c r="I91">
        <v>8665027</v>
      </c>
      <c r="J91">
        <v>7426912</v>
      </c>
      <c r="K91" s="3">
        <v>0.85699999999999998</v>
      </c>
    </row>
    <row r="92" spans="1:11" x14ac:dyDescent="0.3">
      <c r="A92" t="s">
        <v>257</v>
      </c>
      <c r="B92" t="s">
        <v>254</v>
      </c>
      <c r="C92" t="s">
        <v>43</v>
      </c>
      <c r="D92" s="1" t="s">
        <v>293</v>
      </c>
      <c r="E92" s="1" t="s">
        <v>309</v>
      </c>
      <c r="F92" t="s">
        <v>274</v>
      </c>
      <c r="H92" t="s">
        <v>314</v>
      </c>
      <c r="I92">
        <v>9845126</v>
      </c>
      <c r="J92">
        <v>8469285</v>
      </c>
      <c r="K92" s="3">
        <v>0.86</v>
      </c>
    </row>
    <row r="93" spans="1:11" x14ac:dyDescent="0.3">
      <c r="A93" t="s">
        <v>257</v>
      </c>
      <c r="B93" t="s">
        <v>254</v>
      </c>
      <c r="C93" t="s">
        <v>43</v>
      </c>
      <c r="D93" s="1" t="s">
        <v>293</v>
      </c>
      <c r="E93" s="1" t="s">
        <v>309</v>
      </c>
      <c r="F93" t="s">
        <v>278</v>
      </c>
      <c r="H93" t="s">
        <v>314</v>
      </c>
      <c r="I93">
        <v>8583600</v>
      </c>
      <c r="J93">
        <v>7380091</v>
      </c>
      <c r="K93" s="3">
        <v>0.86</v>
      </c>
    </row>
    <row r="94" spans="1:11" x14ac:dyDescent="0.3">
      <c r="A94" t="s">
        <v>257</v>
      </c>
      <c r="B94" t="s">
        <v>254</v>
      </c>
      <c r="C94" t="s">
        <v>43</v>
      </c>
      <c r="D94" s="1" t="s">
        <v>293</v>
      </c>
      <c r="E94" s="1" t="s">
        <v>310</v>
      </c>
      <c r="F94" t="s">
        <v>272</v>
      </c>
      <c r="H94" t="s">
        <v>314</v>
      </c>
      <c r="I94">
        <v>10966037</v>
      </c>
      <c r="J94">
        <v>9471485</v>
      </c>
      <c r="K94" s="3">
        <v>0.86399999999999999</v>
      </c>
    </row>
    <row r="95" spans="1:11" x14ac:dyDescent="0.3">
      <c r="A95" t="s">
        <v>257</v>
      </c>
      <c r="B95" t="s">
        <v>254</v>
      </c>
      <c r="C95" t="s">
        <v>43</v>
      </c>
      <c r="D95" s="1" t="s">
        <v>293</v>
      </c>
      <c r="E95" s="1" t="s">
        <v>309</v>
      </c>
      <c r="F95" t="s">
        <v>277</v>
      </c>
      <c r="H95" t="s">
        <v>314</v>
      </c>
      <c r="I95">
        <v>12889503</v>
      </c>
      <c r="J95">
        <v>11137509</v>
      </c>
      <c r="K95" s="3">
        <v>0.86399999999999999</v>
      </c>
    </row>
    <row r="96" spans="1:11" x14ac:dyDescent="0.3">
      <c r="A96" t="s">
        <v>257</v>
      </c>
      <c r="B96" t="s">
        <v>254</v>
      </c>
      <c r="C96" t="s">
        <v>43</v>
      </c>
      <c r="D96" s="1" t="s">
        <v>293</v>
      </c>
      <c r="E96" s="1" t="s">
        <v>309</v>
      </c>
      <c r="F96" t="s">
        <v>275</v>
      </c>
      <c r="H96" t="s">
        <v>314</v>
      </c>
      <c r="I96">
        <v>14872806</v>
      </c>
      <c r="J96">
        <v>12861210</v>
      </c>
      <c r="K96" s="3">
        <v>0.86499999999999999</v>
      </c>
    </row>
    <row r="97" spans="1:19" x14ac:dyDescent="0.3">
      <c r="A97" t="s">
        <v>257</v>
      </c>
      <c r="B97" t="s">
        <v>254</v>
      </c>
      <c r="C97" t="s">
        <v>43</v>
      </c>
      <c r="D97" s="1" t="s">
        <v>293</v>
      </c>
      <c r="E97" s="1" t="s">
        <v>311</v>
      </c>
      <c r="F97" t="s">
        <v>289</v>
      </c>
      <c r="H97" t="s">
        <v>314</v>
      </c>
      <c r="I97">
        <v>11946696</v>
      </c>
      <c r="J97">
        <v>10330978</v>
      </c>
      <c r="K97" s="3">
        <v>0.86499999999999999</v>
      </c>
    </row>
    <row r="98" spans="1:19" x14ac:dyDescent="0.3">
      <c r="A98" t="s">
        <v>257</v>
      </c>
      <c r="B98" t="s">
        <v>254</v>
      </c>
      <c r="C98" t="s">
        <v>43</v>
      </c>
      <c r="D98" s="1" t="s">
        <v>293</v>
      </c>
      <c r="E98" t="s">
        <v>310</v>
      </c>
      <c r="F98" t="s">
        <v>258</v>
      </c>
      <c r="H98" t="s">
        <v>314</v>
      </c>
      <c r="I98">
        <v>8875776</v>
      </c>
      <c r="J98">
        <v>7688728</v>
      </c>
      <c r="K98" s="3">
        <v>0.86599999999999999</v>
      </c>
    </row>
    <row r="99" spans="1:19" x14ac:dyDescent="0.3">
      <c r="A99" t="s">
        <v>257</v>
      </c>
      <c r="B99" t="s">
        <v>254</v>
      </c>
      <c r="C99" t="s">
        <v>43</v>
      </c>
      <c r="D99" s="1" t="s">
        <v>293</v>
      </c>
      <c r="E99" s="1" t="s">
        <v>309</v>
      </c>
      <c r="F99" t="s">
        <v>280</v>
      </c>
      <c r="H99" t="s">
        <v>314</v>
      </c>
      <c r="I99">
        <v>15781894</v>
      </c>
      <c r="J99">
        <v>13669737</v>
      </c>
      <c r="K99" s="3">
        <v>0.86599999999999999</v>
      </c>
    </row>
    <row r="100" spans="1:19" x14ac:dyDescent="0.3">
      <c r="A100" t="s">
        <v>257</v>
      </c>
      <c r="B100" t="s">
        <v>254</v>
      </c>
      <c r="C100" t="s">
        <v>43</v>
      </c>
      <c r="D100" s="1" t="s">
        <v>293</v>
      </c>
      <c r="E100" s="1" t="s">
        <v>311</v>
      </c>
      <c r="F100" t="s">
        <v>259</v>
      </c>
      <c r="H100" t="s">
        <v>314</v>
      </c>
      <c r="I100">
        <v>16860620</v>
      </c>
      <c r="J100">
        <v>14611143</v>
      </c>
      <c r="K100" s="3">
        <v>0.86699999999999999</v>
      </c>
    </row>
    <row r="101" spans="1:19" x14ac:dyDescent="0.3">
      <c r="A101" t="s">
        <v>257</v>
      </c>
      <c r="B101" t="s">
        <v>254</v>
      </c>
      <c r="C101" t="s">
        <v>43</v>
      </c>
      <c r="D101" s="1" t="s">
        <v>293</v>
      </c>
      <c r="E101" s="1" t="s">
        <v>309</v>
      </c>
      <c r="F101" t="s">
        <v>285</v>
      </c>
      <c r="H101" t="s">
        <v>314</v>
      </c>
      <c r="I101">
        <v>7742252</v>
      </c>
      <c r="J101">
        <v>6709423</v>
      </c>
      <c r="K101" s="3">
        <v>0.86699999999999999</v>
      </c>
    </row>
    <row r="102" spans="1:19" x14ac:dyDescent="0.3">
      <c r="A102" t="s">
        <v>257</v>
      </c>
      <c r="B102" t="s">
        <v>254</v>
      </c>
      <c r="C102" t="s">
        <v>43</v>
      </c>
      <c r="D102" s="1" t="s">
        <v>293</v>
      </c>
      <c r="E102" s="1" t="s">
        <v>309</v>
      </c>
      <c r="F102" t="s">
        <v>276</v>
      </c>
      <c r="H102" t="s">
        <v>314</v>
      </c>
      <c r="I102">
        <v>6249406</v>
      </c>
      <c r="J102">
        <v>5423854</v>
      </c>
      <c r="K102" s="3">
        <v>0.86799999999999999</v>
      </c>
    </row>
    <row r="103" spans="1:19" x14ac:dyDescent="0.3">
      <c r="A103" t="s">
        <v>257</v>
      </c>
      <c r="B103" t="s">
        <v>254</v>
      </c>
      <c r="C103" t="s">
        <v>43</v>
      </c>
      <c r="D103" s="1" t="s">
        <v>293</v>
      </c>
      <c r="E103" s="1" t="s">
        <v>309</v>
      </c>
      <c r="F103" t="s">
        <v>284</v>
      </c>
      <c r="H103" t="s">
        <v>314</v>
      </c>
      <c r="I103">
        <v>11088125</v>
      </c>
      <c r="J103">
        <v>9623696</v>
      </c>
      <c r="K103" s="3">
        <v>0.86799999999999999</v>
      </c>
    </row>
    <row r="104" spans="1:19" x14ac:dyDescent="0.3">
      <c r="A104" t="s">
        <v>257</v>
      </c>
      <c r="B104" t="s">
        <v>254</v>
      </c>
      <c r="C104" t="s">
        <v>43</v>
      </c>
      <c r="D104" s="1" t="s">
        <v>293</v>
      </c>
      <c r="E104" s="1" t="s">
        <v>311</v>
      </c>
      <c r="F104" t="s">
        <v>287</v>
      </c>
      <c r="H104" t="s">
        <v>314</v>
      </c>
      <c r="I104">
        <v>14897345</v>
      </c>
      <c r="J104">
        <v>12952451</v>
      </c>
      <c r="K104" s="3">
        <v>0.86899999999999999</v>
      </c>
    </row>
    <row r="105" spans="1:19" x14ac:dyDescent="0.3">
      <c r="A105" t="s">
        <v>257</v>
      </c>
      <c r="B105" t="s">
        <v>254</v>
      </c>
      <c r="C105" t="s">
        <v>43</v>
      </c>
      <c r="D105" s="1" t="s">
        <v>293</v>
      </c>
      <c r="E105" s="1" t="s">
        <v>309</v>
      </c>
      <c r="F105" t="s">
        <v>282</v>
      </c>
      <c r="H105" t="s">
        <v>314</v>
      </c>
      <c r="I105">
        <v>11729994</v>
      </c>
      <c r="J105">
        <v>10238982</v>
      </c>
      <c r="K105" s="3">
        <v>0.873</v>
      </c>
    </row>
    <row r="106" spans="1:19" x14ac:dyDescent="0.3">
      <c r="A106" t="s">
        <v>257</v>
      </c>
      <c r="B106" t="s">
        <v>254</v>
      </c>
      <c r="C106" t="s">
        <v>43</v>
      </c>
      <c r="D106" s="1" t="s">
        <v>293</v>
      </c>
      <c r="E106" s="1" t="s">
        <v>311</v>
      </c>
      <c r="F106" t="s">
        <v>288</v>
      </c>
      <c r="H106" t="s">
        <v>314</v>
      </c>
      <c r="I106">
        <v>17198263</v>
      </c>
      <c r="J106">
        <v>15033485</v>
      </c>
      <c r="K106" s="3">
        <v>0.874</v>
      </c>
    </row>
    <row r="107" spans="1:19" x14ac:dyDescent="0.3">
      <c r="A107" t="s">
        <v>257</v>
      </c>
      <c r="B107" t="s">
        <v>252</v>
      </c>
      <c r="C107" t="s">
        <v>43</v>
      </c>
      <c r="D107" s="1" t="s">
        <v>293</v>
      </c>
      <c r="E107" s="1" t="s">
        <v>311</v>
      </c>
      <c r="F107" t="s">
        <v>290</v>
      </c>
      <c r="H107" t="s">
        <v>314</v>
      </c>
      <c r="I107">
        <v>1611375</v>
      </c>
      <c r="J107">
        <v>1364454</v>
      </c>
      <c r="K107" s="3">
        <v>0.84676399999999996</v>
      </c>
      <c r="L107">
        <v>925144</v>
      </c>
      <c r="M107" s="3">
        <v>0.574133</v>
      </c>
      <c r="N107">
        <v>686231</v>
      </c>
      <c r="O107" s="3">
        <v>0.425867</v>
      </c>
      <c r="P107">
        <v>0</v>
      </c>
      <c r="Q107" s="3">
        <v>0</v>
      </c>
      <c r="R107">
        <v>0</v>
      </c>
      <c r="S107" s="3">
        <v>0</v>
      </c>
    </row>
    <row r="108" spans="1:19" x14ac:dyDescent="0.3">
      <c r="A108" t="s">
        <v>257</v>
      </c>
      <c r="B108" t="s">
        <v>252</v>
      </c>
      <c r="C108" t="s">
        <v>43</v>
      </c>
      <c r="D108" s="1" t="s">
        <v>293</v>
      </c>
      <c r="E108" s="1" t="s">
        <v>310</v>
      </c>
      <c r="F108" t="s">
        <v>269</v>
      </c>
      <c r="H108" t="s">
        <v>314</v>
      </c>
      <c r="I108">
        <v>11335180</v>
      </c>
      <c r="J108">
        <v>9648738</v>
      </c>
      <c r="K108" s="3">
        <v>0.85122100000000001</v>
      </c>
      <c r="L108">
        <v>6481209</v>
      </c>
      <c r="M108" s="3">
        <v>0.57177800000000001</v>
      </c>
      <c r="N108">
        <v>4853971</v>
      </c>
      <c r="O108" s="3">
        <v>0.42822199999999999</v>
      </c>
      <c r="P108">
        <v>0</v>
      </c>
      <c r="Q108" s="3">
        <v>0</v>
      </c>
      <c r="R108">
        <v>0</v>
      </c>
      <c r="S108" s="3">
        <v>0</v>
      </c>
    </row>
    <row r="109" spans="1:19" x14ac:dyDescent="0.3">
      <c r="A109" t="s">
        <v>257</v>
      </c>
      <c r="B109" t="s">
        <v>252</v>
      </c>
      <c r="C109" t="s">
        <v>43</v>
      </c>
      <c r="D109" s="1" t="s">
        <v>293</v>
      </c>
      <c r="E109" s="1" t="s">
        <v>310</v>
      </c>
      <c r="F109" t="s">
        <v>265</v>
      </c>
      <c r="H109" t="s">
        <v>314</v>
      </c>
      <c r="I109">
        <v>14881138</v>
      </c>
      <c r="J109">
        <v>12861751</v>
      </c>
      <c r="K109" s="3">
        <v>0.86429900000000004</v>
      </c>
      <c r="L109">
        <v>8382855</v>
      </c>
      <c r="M109" s="3">
        <v>0.56332099999999996</v>
      </c>
      <c r="N109">
        <v>6498283</v>
      </c>
      <c r="O109" s="3">
        <v>0.43667899999999998</v>
      </c>
      <c r="P109">
        <v>0</v>
      </c>
      <c r="Q109" s="3">
        <v>0</v>
      </c>
      <c r="R109">
        <v>0</v>
      </c>
      <c r="S109" s="3">
        <v>0</v>
      </c>
    </row>
    <row r="110" spans="1:19" x14ac:dyDescent="0.3">
      <c r="A110" t="s">
        <v>257</v>
      </c>
      <c r="B110" t="s">
        <v>252</v>
      </c>
      <c r="C110" t="s">
        <v>43</v>
      </c>
      <c r="D110" s="1" t="s">
        <v>293</v>
      </c>
      <c r="E110" s="1" t="s">
        <v>310</v>
      </c>
      <c r="F110" t="s">
        <v>264</v>
      </c>
      <c r="H110" t="s">
        <v>314</v>
      </c>
      <c r="I110">
        <v>9766697</v>
      </c>
      <c r="J110">
        <v>8443599</v>
      </c>
      <c r="K110" s="3">
        <v>0.86453000000000002</v>
      </c>
      <c r="L110">
        <v>5494461</v>
      </c>
      <c r="M110" s="3">
        <v>0.56257100000000004</v>
      </c>
      <c r="N110">
        <v>4272236</v>
      </c>
      <c r="O110" s="3">
        <v>0.43742900000000001</v>
      </c>
      <c r="P110">
        <v>0</v>
      </c>
      <c r="Q110" s="3">
        <v>0</v>
      </c>
      <c r="R110">
        <v>0</v>
      </c>
      <c r="S110" s="3">
        <v>0</v>
      </c>
    </row>
    <row r="111" spans="1:19" x14ac:dyDescent="0.3">
      <c r="A111" t="s">
        <v>257</v>
      </c>
      <c r="B111" t="s">
        <v>252</v>
      </c>
      <c r="C111" t="s">
        <v>43</v>
      </c>
      <c r="D111" s="1" t="s">
        <v>293</v>
      </c>
      <c r="E111" s="1" t="s">
        <v>311</v>
      </c>
      <c r="F111" t="s">
        <v>261</v>
      </c>
      <c r="H111" t="s">
        <v>314</v>
      </c>
      <c r="I111">
        <v>7639229</v>
      </c>
      <c r="J111">
        <v>6621820</v>
      </c>
      <c r="K111" s="3">
        <v>0.86681799999999998</v>
      </c>
      <c r="L111">
        <v>4314150</v>
      </c>
      <c r="M111" s="3">
        <v>0.56473600000000002</v>
      </c>
      <c r="N111">
        <v>3325079</v>
      </c>
      <c r="O111" s="3">
        <v>0.43526399999999998</v>
      </c>
      <c r="P111">
        <v>0</v>
      </c>
      <c r="Q111" s="3">
        <v>0</v>
      </c>
      <c r="R111">
        <v>0</v>
      </c>
      <c r="S111" s="3">
        <v>0</v>
      </c>
    </row>
    <row r="112" spans="1:19" x14ac:dyDescent="0.3">
      <c r="A112" t="s">
        <v>257</v>
      </c>
      <c r="B112" t="s">
        <v>252</v>
      </c>
      <c r="C112" t="s">
        <v>43</v>
      </c>
      <c r="D112" s="1" t="s">
        <v>293</v>
      </c>
      <c r="E112" s="1" t="s">
        <v>310</v>
      </c>
      <c r="F112" t="s">
        <v>266</v>
      </c>
      <c r="H112" t="s">
        <v>314</v>
      </c>
      <c r="I112">
        <v>13767727</v>
      </c>
      <c r="J112">
        <v>11948627</v>
      </c>
      <c r="K112" s="3">
        <v>0.86787199999999998</v>
      </c>
      <c r="L112">
        <v>7728326</v>
      </c>
      <c r="M112" s="3">
        <v>0.56133599999999995</v>
      </c>
      <c r="N112">
        <v>6039401</v>
      </c>
      <c r="O112" s="3">
        <v>0.438664</v>
      </c>
      <c r="P112">
        <v>0</v>
      </c>
      <c r="Q112" s="3">
        <v>0</v>
      </c>
      <c r="R112">
        <v>0</v>
      </c>
      <c r="S112" s="3">
        <v>0</v>
      </c>
    </row>
    <row r="113" spans="1:19" x14ac:dyDescent="0.3">
      <c r="A113" t="s">
        <v>257</v>
      </c>
      <c r="B113" t="s">
        <v>252</v>
      </c>
      <c r="C113" t="s">
        <v>43</v>
      </c>
      <c r="D113" s="1" t="s">
        <v>293</v>
      </c>
      <c r="E113" s="1" t="s">
        <v>310</v>
      </c>
      <c r="F113" t="s">
        <v>270</v>
      </c>
      <c r="H113" t="s">
        <v>314</v>
      </c>
      <c r="I113">
        <v>10550178</v>
      </c>
      <c r="J113">
        <v>9168998</v>
      </c>
      <c r="K113" s="3">
        <v>0.869085</v>
      </c>
      <c r="L113">
        <v>5928574</v>
      </c>
      <c r="M113" s="3">
        <v>0.56194100000000002</v>
      </c>
      <c r="N113">
        <v>4621604</v>
      </c>
      <c r="O113" s="3">
        <v>0.43805899999999998</v>
      </c>
      <c r="P113">
        <v>0</v>
      </c>
      <c r="Q113" s="3">
        <v>0</v>
      </c>
      <c r="R113">
        <v>0</v>
      </c>
      <c r="S113" s="3">
        <v>0</v>
      </c>
    </row>
    <row r="114" spans="1:19" x14ac:dyDescent="0.3">
      <c r="A114" t="s">
        <v>257</v>
      </c>
      <c r="B114" t="s">
        <v>252</v>
      </c>
      <c r="C114" t="s">
        <v>43</v>
      </c>
      <c r="D114" s="1" t="s">
        <v>293</v>
      </c>
      <c r="E114" s="1" t="s">
        <v>311</v>
      </c>
      <c r="F114" t="s">
        <v>291</v>
      </c>
      <c r="H114" t="s">
        <v>314</v>
      </c>
      <c r="I114">
        <v>2368073</v>
      </c>
      <c r="J114">
        <v>2067065</v>
      </c>
      <c r="K114" s="3">
        <v>0.87288900000000003</v>
      </c>
      <c r="L114">
        <v>1336738</v>
      </c>
      <c r="M114" s="3">
        <v>0.56448299999999996</v>
      </c>
      <c r="N114">
        <v>1031335</v>
      </c>
      <c r="O114" s="3">
        <v>0.43551699999999999</v>
      </c>
      <c r="P114">
        <v>0</v>
      </c>
      <c r="Q114" s="3">
        <v>0</v>
      </c>
      <c r="R114">
        <v>0</v>
      </c>
      <c r="S114" s="3">
        <v>0</v>
      </c>
    </row>
    <row r="115" spans="1:19" x14ac:dyDescent="0.3">
      <c r="A115" t="s">
        <v>257</v>
      </c>
      <c r="B115" t="s">
        <v>252</v>
      </c>
      <c r="C115" t="s">
        <v>43</v>
      </c>
      <c r="D115" s="1" t="s">
        <v>293</v>
      </c>
      <c r="E115" s="1" t="s">
        <v>310</v>
      </c>
      <c r="F115" t="s">
        <v>267</v>
      </c>
      <c r="H115" t="s">
        <v>314</v>
      </c>
      <c r="I115">
        <v>12694680</v>
      </c>
      <c r="J115">
        <v>11089107</v>
      </c>
      <c r="K115" s="3">
        <v>0.87352399999999997</v>
      </c>
      <c r="L115">
        <v>7101550</v>
      </c>
      <c r="M115" s="3">
        <v>0.55941200000000002</v>
      </c>
      <c r="N115">
        <v>5593130</v>
      </c>
      <c r="O115" s="3">
        <v>0.44058799999999998</v>
      </c>
      <c r="P115">
        <v>0</v>
      </c>
      <c r="Q115" s="3">
        <v>0</v>
      </c>
      <c r="R115">
        <v>0</v>
      </c>
      <c r="S115" s="3">
        <v>0</v>
      </c>
    </row>
    <row r="116" spans="1:19" x14ac:dyDescent="0.3">
      <c r="A116" t="s">
        <v>257</v>
      </c>
      <c r="B116" t="s">
        <v>252</v>
      </c>
      <c r="C116" t="s">
        <v>43</v>
      </c>
      <c r="D116" s="1" t="s">
        <v>293</v>
      </c>
      <c r="E116" s="1" t="s">
        <v>310</v>
      </c>
      <c r="F116" t="s">
        <v>268</v>
      </c>
      <c r="H116" t="s">
        <v>314</v>
      </c>
      <c r="I116">
        <v>19357267</v>
      </c>
      <c r="J116">
        <v>16916943</v>
      </c>
      <c r="K116" s="3">
        <v>0.87393200000000004</v>
      </c>
      <c r="L116">
        <v>10822895</v>
      </c>
      <c r="M116" s="3">
        <v>0.55911299999999997</v>
      </c>
      <c r="N116">
        <v>8534372</v>
      </c>
      <c r="O116" s="3">
        <v>0.44088699999999997</v>
      </c>
      <c r="P116">
        <v>0</v>
      </c>
      <c r="Q116" s="3">
        <v>0</v>
      </c>
      <c r="R116">
        <v>0</v>
      </c>
      <c r="S116" s="3">
        <v>0</v>
      </c>
    </row>
    <row r="117" spans="1:19" x14ac:dyDescent="0.3">
      <c r="A117" t="s">
        <v>257</v>
      </c>
      <c r="B117" t="s">
        <v>252</v>
      </c>
      <c r="C117" t="s">
        <v>43</v>
      </c>
      <c r="D117" s="1" t="s">
        <v>293</v>
      </c>
      <c r="E117" s="1" t="s">
        <v>311</v>
      </c>
      <c r="F117" t="s">
        <v>263</v>
      </c>
      <c r="H117" t="s">
        <v>314</v>
      </c>
      <c r="I117">
        <v>9445029</v>
      </c>
      <c r="J117">
        <v>8302243</v>
      </c>
      <c r="K117" s="3">
        <v>0.87900699999999998</v>
      </c>
      <c r="L117">
        <v>5271048</v>
      </c>
      <c r="M117" s="3">
        <v>0.55807600000000002</v>
      </c>
      <c r="N117">
        <v>4173981</v>
      </c>
      <c r="O117" s="3">
        <v>0.44192399999999998</v>
      </c>
      <c r="P117">
        <v>0</v>
      </c>
      <c r="Q117" s="3">
        <v>0</v>
      </c>
      <c r="R117">
        <v>0</v>
      </c>
      <c r="S117" s="3">
        <v>0</v>
      </c>
    </row>
    <row r="118" spans="1:19" x14ac:dyDescent="0.3">
      <c r="A118" t="s">
        <v>257</v>
      </c>
      <c r="B118" t="s">
        <v>252</v>
      </c>
      <c r="C118" t="s">
        <v>43</v>
      </c>
      <c r="D118" s="1" t="s">
        <v>293</v>
      </c>
      <c r="E118" s="1" t="s">
        <v>311</v>
      </c>
      <c r="F118" t="s">
        <v>292</v>
      </c>
      <c r="H118" t="s">
        <v>314</v>
      </c>
      <c r="I118">
        <v>5527440</v>
      </c>
      <c r="J118">
        <v>4866509</v>
      </c>
      <c r="K118" s="3">
        <v>0.88042699999999996</v>
      </c>
      <c r="L118">
        <v>3071890</v>
      </c>
      <c r="M118" s="3">
        <v>0.55575300000000005</v>
      </c>
      <c r="N118">
        <v>2455550</v>
      </c>
      <c r="O118" s="3">
        <v>0.444247</v>
      </c>
      <c r="P118">
        <v>0</v>
      </c>
      <c r="Q118" s="3">
        <v>0</v>
      </c>
      <c r="R118">
        <v>0</v>
      </c>
      <c r="S118" s="3">
        <v>0</v>
      </c>
    </row>
    <row r="119" spans="1:19" x14ac:dyDescent="0.3">
      <c r="A119" t="s">
        <v>257</v>
      </c>
      <c r="B119" t="s">
        <v>252</v>
      </c>
      <c r="C119" t="s">
        <v>43</v>
      </c>
      <c r="D119" s="1" t="s">
        <v>293</v>
      </c>
      <c r="E119" s="1" t="s">
        <v>310</v>
      </c>
      <c r="F119" t="s">
        <v>273</v>
      </c>
      <c r="H119" t="s">
        <v>314</v>
      </c>
      <c r="I119">
        <v>12147507</v>
      </c>
      <c r="J119">
        <v>10697309</v>
      </c>
      <c r="K119" s="3">
        <v>0.88061800000000001</v>
      </c>
      <c r="L119">
        <v>6770179</v>
      </c>
      <c r="M119" s="3">
        <v>0.55733100000000002</v>
      </c>
      <c r="N119">
        <v>5377328</v>
      </c>
      <c r="O119" s="3">
        <v>0.44266899999999998</v>
      </c>
      <c r="P119">
        <v>0</v>
      </c>
      <c r="Q119" s="3">
        <v>0</v>
      </c>
      <c r="R119">
        <v>0</v>
      </c>
      <c r="S119" s="3">
        <v>0</v>
      </c>
    </row>
    <row r="120" spans="1:19" x14ac:dyDescent="0.3">
      <c r="A120" t="s">
        <v>257</v>
      </c>
      <c r="B120" t="s">
        <v>252</v>
      </c>
      <c r="C120" t="s">
        <v>43</v>
      </c>
      <c r="D120" s="1" t="s">
        <v>293</v>
      </c>
      <c r="E120" s="1" t="s">
        <v>311</v>
      </c>
      <c r="F120" t="s">
        <v>260</v>
      </c>
      <c r="H120" t="s">
        <v>314</v>
      </c>
      <c r="I120">
        <v>12782710</v>
      </c>
      <c r="J120">
        <v>11272927</v>
      </c>
      <c r="K120" s="3">
        <v>0.88188900000000003</v>
      </c>
      <c r="L120">
        <v>7125961</v>
      </c>
      <c r="M120" s="3">
        <v>0.55746899999999999</v>
      </c>
      <c r="N120">
        <v>5656749</v>
      </c>
      <c r="O120" s="3">
        <v>0.44253100000000001</v>
      </c>
      <c r="P120">
        <v>0</v>
      </c>
      <c r="Q120" s="3">
        <v>0</v>
      </c>
      <c r="R120">
        <v>0</v>
      </c>
      <c r="S120" s="3">
        <v>0</v>
      </c>
    </row>
    <row r="121" spans="1:19" x14ac:dyDescent="0.3">
      <c r="A121" t="s">
        <v>257</v>
      </c>
      <c r="B121" t="s">
        <v>252</v>
      </c>
      <c r="C121" t="s">
        <v>43</v>
      </c>
      <c r="D121" s="1" t="s">
        <v>293</v>
      </c>
      <c r="E121" s="1" t="s">
        <v>309</v>
      </c>
      <c r="F121" t="s">
        <v>281</v>
      </c>
      <c r="H121" t="s">
        <v>314</v>
      </c>
      <c r="I121">
        <v>10085675</v>
      </c>
      <c r="J121">
        <v>8905295</v>
      </c>
      <c r="K121" s="3">
        <v>0.882965</v>
      </c>
      <c r="L121">
        <v>5620007</v>
      </c>
      <c r="M121" s="3">
        <v>0.55722700000000003</v>
      </c>
      <c r="N121">
        <v>4465668</v>
      </c>
      <c r="O121" s="3">
        <v>0.44277300000000003</v>
      </c>
      <c r="P121">
        <v>0</v>
      </c>
      <c r="Q121" s="3">
        <v>0</v>
      </c>
      <c r="R121">
        <v>0</v>
      </c>
      <c r="S121" s="3">
        <v>0</v>
      </c>
    </row>
    <row r="122" spans="1:19" x14ac:dyDescent="0.3">
      <c r="A122" t="s">
        <v>257</v>
      </c>
      <c r="B122" t="s">
        <v>252</v>
      </c>
      <c r="C122" t="s">
        <v>43</v>
      </c>
      <c r="D122" s="1" t="s">
        <v>293</v>
      </c>
      <c r="E122" s="1" t="s">
        <v>310</v>
      </c>
      <c r="F122" t="s">
        <v>271</v>
      </c>
      <c r="H122" t="s">
        <v>314</v>
      </c>
      <c r="I122">
        <v>16276857</v>
      </c>
      <c r="J122">
        <v>14388614</v>
      </c>
      <c r="K122" s="3">
        <v>0.883992</v>
      </c>
      <c r="L122">
        <v>9026654</v>
      </c>
      <c r="M122" s="3">
        <v>0.55457000000000001</v>
      </c>
      <c r="N122">
        <v>7250203</v>
      </c>
      <c r="O122" s="3">
        <v>0.44542999999999999</v>
      </c>
      <c r="P122">
        <v>0</v>
      </c>
      <c r="Q122" s="3">
        <v>0</v>
      </c>
      <c r="R122">
        <v>0</v>
      </c>
      <c r="S122" s="3">
        <v>0</v>
      </c>
    </row>
    <row r="123" spans="1:19" x14ac:dyDescent="0.3">
      <c r="A123" t="s">
        <v>257</v>
      </c>
      <c r="B123" t="s">
        <v>252</v>
      </c>
      <c r="C123" t="s">
        <v>43</v>
      </c>
      <c r="D123" s="1" t="s">
        <v>293</v>
      </c>
      <c r="E123" s="1" t="s">
        <v>311</v>
      </c>
      <c r="F123" t="s">
        <v>286</v>
      </c>
      <c r="H123" t="s">
        <v>314</v>
      </c>
      <c r="I123">
        <v>7162732</v>
      </c>
      <c r="J123">
        <v>6335490</v>
      </c>
      <c r="K123" s="3">
        <v>0.88450700000000004</v>
      </c>
      <c r="L123">
        <v>3982048</v>
      </c>
      <c r="M123" s="3">
        <v>0.55593999999999999</v>
      </c>
      <c r="N123">
        <v>3180684</v>
      </c>
      <c r="O123" s="3">
        <v>0.44406000000000001</v>
      </c>
      <c r="P123">
        <v>0</v>
      </c>
      <c r="Q123" s="3">
        <v>0</v>
      </c>
      <c r="R123">
        <v>0</v>
      </c>
      <c r="S123" s="3">
        <v>0</v>
      </c>
    </row>
    <row r="124" spans="1:19" x14ac:dyDescent="0.3">
      <c r="A124" t="s">
        <v>257</v>
      </c>
      <c r="B124" t="s">
        <v>252</v>
      </c>
      <c r="C124" t="s">
        <v>43</v>
      </c>
      <c r="D124" s="1" t="s">
        <v>293</v>
      </c>
      <c r="E124" s="1" t="s">
        <v>309</v>
      </c>
      <c r="F124" t="s">
        <v>283</v>
      </c>
      <c r="H124" t="s">
        <v>314</v>
      </c>
      <c r="I124">
        <v>4707832</v>
      </c>
      <c r="J124">
        <v>4164644</v>
      </c>
      <c r="K124" s="3">
        <v>0.88461999999999996</v>
      </c>
      <c r="L124">
        <v>2633640</v>
      </c>
      <c r="M124" s="3">
        <v>0.55941700000000005</v>
      </c>
      <c r="N124">
        <v>2074192</v>
      </c>
      <c r="O124" s="3">
        <v>0.440583</v>
      </c>
      <c r="P124">
        <v>0</v>
      </c>
      <c r="Q124" s="3">
        <v>0</v>
      </c>
      <c r="R124">
        <v>0</v>
      </c>
      <c r="S124" s="3">
        <v>0</v>
      </c>
    </row>
    <row r="125" spans="1:19" x14ac:dyDescent="0.3">
      <c r="A125" t="s">
        <v>257</v>
      </c>
      <c r="B125" t="s">
        <v>252</v>
      </c>
      <c r="C125" t="s">
        <v>43</v>
      </c>
      <c r="D125" s="1" t="s">
        <v>293</v>
      </c>
      <c r="E125" s="1" t="s">
        <v>309</v>
      </c>
      <c r="F125" t="s">
        <v>274</v>
      </c>
      <c r="H125" t="s">
        <v>314</v>
      </c>
      <c r="I125">
        <v>11368035</v>
      </c>
      <c r="J125">
        <v>10060044</v>
      </c>
      <c r="K125" s="3">
        <v>0.88494099999999998</v>
      </c>
      <c r="L125">
        <v>6314703</v>
      </c>
      <c r="M125" s="3">
        <v>0.55547899999999995</v>
      </c>
      <c r="N125">
        <v>5053332</v>
      </c>
      <c r="O125" s="3">
        <v>0.444521</v>
      </c>
      <c r="P125">
        <v>0</v>
      </c>
      <c r="Q125" s="3">
        <v>0</v>
      </c>
      <c r="R125">
        <v>0</v>
      </c>
      <c r="S125" s="3">
        <v>0</v>
      </c>
    </row>
    <row r="126" spans="1:19" x14ac:dyDescent="0.3">
      <c r="A126" t="s">
        <v>257</v>
      </c>
      <c r="B126" t="s">
        <v>252</v>
      </c>
      <c r="C126" t="s">
        <v>43</v>
      </c>
      <c r="D126" s="1" t="s">
        <v>293</v>
      </c>
      <c r="E126" s="1" t="s">
        <v>309</v>
      </c>
      <c r="F126" t="s">
        <v>279</v>
      </c>
      <c r="H126" t="s">
        <v>314</v>
      </c>
      <c r="I126">
        <v>10191305</v>
      </c>
      <c r="J126">
        <v>9027206</v>
      </c>
      <c r="K126" s="3">
        <v>0.88577499999999998</v>
      </c>
      <c r="L126">
        <v>5674098</v>
      </c>
      <c r="M126" s="3">
        <v>0.556759</v>
      </c>
      <c r="N126">
        <v>4517207</v>
      </c>
      <c r="O126" s="3">
        <v>0.443241</v>
      </c>
      <c r="P126">
        <v>0</v>
      </c>
      <c r="Q126" s="3">
        <v>0</v>
      </c>
      <c r="R126">
        <v>0</v>
      </c>
      <c r="S126" s="3">
        <v>0</v>
      </c>
    </row>
    <row r="127" spans="1:19" x14ac:dyDescent="0.3">
      <c r="A127" t="s">
        <v>257</v>
      </c>
      <c r="B127" t="s">
        <v>252</v>
      </c>
      <c r="C127" t="s">
        <v>43</v>
      </c>
      <c r="D127" s="1" t="s">
        <v>293</v>
      </c>
      <c r="E127" s="1" t="s">
        <v>311</v>
      </c>
      <c r="F127" t="s">
        <v>262</v>
      </c>
      <c r="H127" t="s">
        <v>314</v>
      </c>
      <c r="I127">
        <v>7553108</v>
      </c>
      <c r="J127">
        <v>6697967</v>
      </c>
      <c r="K127" s="3">
        <v>0.88678299999999999</v>
      </c>
      <c r="L127">
        <v>4183792</v>
      </c>
      <c r="M127" s="3">
        <v>0.55391699999999999</v>
      </c>
      <c r="N127">
        <v>3369316</v>
      </c>
      <c r="O127" s="3">
        <v>0.44608300000000001</v>
      </c>
      <c r="P127">
        <v>0</v>
      </c>
      <c r="Q127" s="3">
        <v>0</v>
      </c>
      <c r="R127">
        <v>0</v>
      </c>
      <c r="S127" s="3">
        <v>0</v>
      </c>
    </row>
    <row r="128" spans="1:19" x14ac:dyDescent="0.3">
      <c r="A128" t="s">
        <v>257</v>
      </c>
      <c r="B128" t="s">
        <v>252</v>
      </c>
      <c r="C128" t="s">
        <v>43</v>
      </c>
      <c r="D128" s="1" t="s">
        <v>293</v>
      </c>
      <c r="E128" s="1" t="s">
        <v>309</v>
      </c>
      <c r="F128" t="s">
        <v>278</v>
      </c>
      <c r="H128" t="s">
        <v>314</v>
      </c>
      <c r="I128">
        <v>9202673</v>
      </c>
      <c r="J128">
        <v>8175583</v>
      </c>
      <c r="K128" s="3">
        <v>0.88839199999999996</v>
      </c>
      <c r="L128">
        <v>5100538</v>
      </c>
      <c r="M128" s="3">
        <v>0.55424499999999999</v>
      </c>
      <c r="N128">
        <v>4102135</v>
      </c>
      <c r="O128" s="3">
        <v>0.44575500000000001</v>
      </c>
      <c r="P128">
        <v>0</v>
      </c>
      <c r="Q128" s="3">
        <v>0</v>
      </c>
      <c r="R128">
        <v>0</v>
      </c>
      <c r="S128" s="3">
        <v>0</v>
      </c>
    </row>
    <row r="129" spans="1:19" x14ac:dyDescent="0.3">
      <c r="A129" t="s">
        <v>257</v>
      </c>
      <c r="B129" t="s">
        <v>252</v>
      </c>
      <c r="C129" t="s">
        <v>43</v>
      </c>
      <c r="D129" s="1" t="s">
        <v>293</v>
      </c>
      <c r="E129" s="1" t="s">
        <v>311</v>
      </c>
      <c r="F129" t="s">
        <v>287</v>
      </c>
      <c r="H129" t="s">
        <v>314</v>
      </c>
      <c r="I129">
        <v>14582046</v>
      </c>
      <c r="J129">
        <v>12980959</v>
      </c>
      <c r="K129" s="3">
        <v>0.89020100000000002</v>
      </c>
      <c r="L129">
        <v>8069126</v>
      </c>
      <c r="M129" s="3">
        <v>0.55335999999999996</v>
      </c>
      <c r="N129">
        <v>6512920</v>
      </c>
      <c r="O129" s="3">
        <v>0.44663999999999998</v>
      </c>
      <c r="P129">
        <v>0</v>
      </c>
      <c r="Q129" s="3">
        <v>0</v>
      </c>
      <c r="R129">
        <v>0</v>
      </c>
      <c r="S129" s="3">
        <v>0</v>
      </c>
    </row>
    <row r="130" spans="1:19" x14ac:dyDescent="0.3">
      <c r="A130" t="s">
        <v>257</v>
      </c>
      <c r="B130" t="s">
        <v>252</v>
      </c>
      <c r="C130" t="s">
        <v>43</v>
      </c>
      <c r="D130" s="1" t="s">
        <v>293</v>
      </c>
      <c r="E130" s="1" t="s">
        <v>309</v>
      </c>
      <c r="F130" t="s">
        <v>275</v>
      </c>
      <c r="H130" t="s">
        <v>314</v>
      </c>
      <c r="I130">
        <v>16104398</v>
      </c>
      <c r="J130">
        <v>14369134</v>
      </c>
      <c r="K130" s="3">
        <v>0.89224899999999996</v>
      </c>
      <c r="L130">
        <v>8893270</v>
      </c>
      <c r="M130" s="3">
        <v>0.55222599999999999</v>
      </c>
      <c r="N130">
        <v>7211128</v>
      </c>
      <c r="O130" s="3">
        <v>0.44777400000000001</v>
      </c>
      <c r="P130">
        <v>0</v>
      </c>
      <c r="Q130" s="3">
        <v>0</v>
      </c>
      <c r="R130">
        <v>0</v>
      </c>
      <c r="S130" s="3">
        <v>0</v>
      </c>
    </row>
    <row r="131" spans="1:19" x14ac:dyDescent="0.3">
      <c r="A131" t="s">
        <v>257</v>
      </c>
      <c r="B131" t="s">
        <v>252</v>
      </c>
      <c r="C131" t="s">
        <v>43</v>
      </c>
      <c r="D131" s="1" t="s">
        <v>293</v>
      </c>
      <c r="E131" s="1" t="s">
        <v>309</v>
      </c>
      <c r="F131" t="s">
        <v>280</v>
      </c>
      <c r="H131" t="s">
        <v>314</v>
      </c>
      <c r="I131">
        <v>15923124</v>
      </c>
      <c r="J131">
        <v>14214415</v>
      </c>
      <c r="K131" s="3">
        <v>0.89268999999999998</v>
      </c>
      <c r="L131">
        <v>8812115</v>
      </c>
      <c r="M131" s="3">
        <v>0.55341600000000002</v>
      </c>
      <c r="N131">
        <v>7111009</v>
      </c>
      <c r="O131" s="3">
        <v>0.44658399999999998</v>
      </c>
      <c r="P131">
        <v>0</v>
      </c>
      <c r="Q131" s="3">
        <v>0</v>
      </c>
      <c r="R131">
        <v>0</v>
      </c>
      <c r="S131" s="3">
        <v>0</v>
      </c>
    </row>
    <row r="132" spans="1:19" x14ac:dyDescent="0.3">
      <c r="A132" t="s">
        <v>257</v>
      </c>
      <c r="B132" t="s">
        <v>252</v>
      </c>
      <c r="C132" t="s">
        <v>43</v>
      </c>
      <c r="D132" s="1" t="s">
        <v>293</v>
      </c>
      <c r="E132" s="1" t="s">
        <v>310</v>
      </c>
      <c r="F132" t="s">
        <v>272</v>
      </c>
      <c r="H132" t="s">
        <v>314</v>
      </c>
      <c r="I132">
        <v>11440405</v>
      </c>
      <c r="J132">
        <v>10217177</v>
      </c>
      <c r="K132" s="3">
        <v>0.89307800000000004</v>
      </c>
      <c r="L132">
        <v>6294100</v>
      </c>
      <c r="M132" s="3">
        <v>0.55016399999999999</v>
      </c>
      <c r="N132">
        <v>5146305</v>
      </c>
      <c r="O132" s="3">
        <v>0.44983600000000001</v>
      </c>
      <c r="P132">
        <v>0</v>
      </c>
      <c r="Q132" s="3">
        <v>0</v>
      </c>
      <c r="R132">
        <v>0</v>
      </c>
      <c r="S132" s="3">
        <v>0</v>
      </c>
    </row>
    <row r="133" spans="1:19" x14ac:dyDescent="0.3">
      <c r="A133" t="s">
        <v>257</v>
      </c>
      <c r="B133" t="s">
        <v>252</v>
      </c>
      <c r="C133" t="s">
        <v>43</v>
      </c>
      <c r="D133" s="1" t="s">
        <v>293</v>
      </c>
      <c r="E133" s="1" t="s">
        <v>309</v>
      </c>
      <c r="F133" t="s">
        <v>276</v>
      </c>
      <c r="H133" t="s">
        <v>314</v>
      </c>
      <c r="I133">
        <v>7038950</v>
      </c>
      <c r="J133">
        <v>6287210</v>
      </c>
      <c r="K133" s="3">
        <v>0.89320299999999997</v>
      </c>
      <c r="L133">
        <v>3882288</v>
      </c>
      <c r="M133" s="3">
        <v>0.55154400000000003</v>
      </c>
      <c r="N133">
        <v>3156662</v>
      </c>
      <c r="O133" s="3">
        <v>0.44845600000000002</v>
      </c>
      <c r="P133">
        <v>0</v>
      </c>
      <c r="Q133" s="3">
        <v>0</v>
      </c>
      <c r="R133">
        <v>0</v>
      </c>
      <c r="S133" s="3">
        <v>0</v>
      </c>
    </row>
    <row r="134" spans="1:19" x14ac:dyDescent="0.3">
      <c r="A134" t="s">
        <v>257</v>
      </c>
      <c r="B134" t="s">
        <v>252</v>
      </c>
      <c r="C134" t="s">
        <v>43</v>
      </c>
      <c r="D134" s="1" t="s">
        <v>293</v>
      </c>
      <c r="E134" s="1" t="s">
        <v>309</v>
      </c>
      <c r="F134" t="s">
        <v>277</v>
      </c>
      <c r="H134" t="s">
        <v>314</v>
      </c>
      <c r="I134">
        <v>13681688</v>
      </c>
      <c r="J134">
        <v>12224599</v>
      </c>
      <c r="K134" s="3">
        <v>0.89350099999999999</v>
      </c>
      <c r="L134">
        <v>7553505</v>
      </c>
      <c r="M134" s="3">
        <v>0.55208900000000005</v>
      </c>
      <c r="N134">
        <v>6128183</v>
      </c>
      <c r="O134" s="3">
        <v>0.447911</v>
      </c>
      <c r="P134">
        <v>0</v>
      </c>
      <c r="Q134" s="3">
        <v>0</v>
      </c>
      <c r="R134">
        <v>0</v>
      </c>
      <c r="S134" s="3">
        <v>0</v>
      </c>
    </row>
    <row r="135" spans="1:19" x14ac:dyDescent="0.3">
      <c r="A135" t="s">
        <v>257</v>
      </c>
      <c r="B135" t="s">
        <v>252</v>
      </c>
      <c r="C135" t="s">
        <v>43</v>
      </c>
      <c r="D135" s="1" t="s">
        <v>293</v>
      </c>
      <c r="E135" s="1" t="s">
        <v>311</v>
      </c>
      <c r="F135" t="s">
        <v>289</v>
      </c>
      <c r="H135" t="s">
        <v>314</v>
      </c>
      <c r="I135">
        <v>12470168</v>
      </c>
      <c r="J135">
        <v>11143124</v>
      </c>
      <c r="K135" s="3">
        <v>0.89358300000000002</v>
      </c>
      <c r="L135">
        <v>6855515</v>
      </c>
      <c r="M135" s="3">
        <v>0.54975300000000005</v>
      </c>
      <c r="N135">
        <v>5614653</v>
      </c>
      <c r="O135" s="3">
        <v>0.45024700000000001</v>
      </c>
      <c r="P135">
        <v>0</v>
      </c>
      <c r="Q135" s="3">
        <v>0</v>
      </c>
      <c r="R135">
        <v>0</v>
      </c>
      <c r="S135" s="3">
        <v>0</v>
      </c>
    </row>
    <row r="136" spans="1:19" x14ac:dyDescent="0.3">
      <c r="A136" t="s">
        <v>257</v>
      </c>
      <c r="B136" t="s">
        <v>252</v>
      </c>
      <c r="C136" t="s">
        <v>43</v>
      </c>
      <c r="D136" s="1" t="s">
        <v>293</v>
      </c>
      <c r="E136" s="1" t="s">
        <v>309</v>
      </c>
      <c r="F136" t="s">
        <v>285</v>
      </c>
      <c r="H136" t="s">
        <v>314</v>
      </c>
      <c r="I136">
        <v>8366514</v>
      </c>
      <c r="J136">
        <v>7480000</v>
      </c>
      <c r="K136" s="3">
        <v>0.89403999999999995</v>
      </c>
      <c r="L136">
        <v>4606454</v>
      </c>
      <c r="M136" s="3">
        <v>0.55058200000000002</v>
      </c>
      <c r="N136">
        <v>3760060</v>
      </c>
      <c r="O136" s="3">
        <v>0.44941799999999998</v>
      </c>
      <c r="P136">
        <v>0</v>
      </c>
      <c r="Q136" s="3">
        <v>0</v>
      </c>
      <c r="R136">
        <v>0</v>
      </c>
      <c r="S136" s="3">
        <v>0</v>
      </c>
    </row>
    <row r="137" spans="1:19" x14ac:dyDescent="0.3">
      <c r="A137" t="s">
        <v>257</v>
      </c>
      <c r="B137" t="s">
        <v>252</v>
      </c>
      <c r="C137" t="s">
        <v>43</v>
      </c>
      <c r="D137" s="1" t="s">
        <v>293</v>
      </c>
      <c r="E137" s="1" t="s">
        <v>311</v>
      </c>
      <c r="F137" t="s">
        <v>259</v>
      </c>
      <c r="H137" t="s">
        <v>314</v>
      </c>
      <c r="I137">
        <v>18081476</v>
      </c>
      <c r="J137">
        <v>16184920</v>
      </c>
      <c r="K137" s="3">
        <v>0.89511099999999999</v>
      </c>
      <c r="L137">
        <v>9928585</v>
      </c>
      <c r="M137" s="3">
        <v>0.54910300000000001</v>
      </c>
      <c r="N137">
        <v>8152891</v>
      </c>
      <c r="O137" s="3">
        <v>0.45089699999999999</v>
      </c>
      <c r="P137">
        <v>0</v>
      </c>
      <c r="Q137" s="3">
        <v>0</v>
      </c>
      <c r="R137">
        <v>0</v>
      </c>
      <c r="S137" s="3">
        <v>0</v>
      </c>
    </row>
    <row r="138" spans="1:19" x14ac:dyDescent="0.3">
      <c r="A138" t="s">
        <v>257</v>
      </c>
      <c r="B138" t="s">
        <v>252</v>
      </c>
      <c r="C138" t="s">
        <v>43</v>
      </c>
      <c r="D138" s="1" t="s">
        <v>293</v>
      </c>
      <c r="E138" s="1" t="s">
        <v>309</v>
      </c>
      <c r="F138" t="s">
        <v>284</v>
      </c>
      <c r="H138" t="s">
        <v>314</v>
      </c>
      <c r="I138">
        <v>11639115</v>
      </c>
      <c r="J138">
        <v>10437975</v>
      </c>
      <c r="K138" s="3">
        <v>0.89680099999999996</v>
      </c>
      <c r="L138">
        <v>6388655</v>
      </c>
      <c r="M138" s="3">
        <v>0.54889500000000002</v>
      </c>
      <c r="N138">
        <v>5250460</v>
      </c>
      <c r="O138" s="3">
        <v>0.45110499999999998</v>
      </c>
      <c r="P138">
        <v>0</v>
      </c>
      <c r="Q138" s="3">
        <v>0</v>
      </c>
      <c r="R138">
        <v>0</v>
      </c>
      <c r="S138" s="3">
        <v>0</v>
      </c>
    </row>
    <row r="139" spans="1:19" x14ac:dyDescent="0.3">
      <c r="A139" t="s">
        <v>257</v>
      </c>
      <c r="B139" t="s">
        <v>252</v>
      </c>
      <c r="C139" t="s">
        <v>43</v>
      </c>
      <c r="D139" s="1" t="s">
        <v>293</v>
      </c>
      <c r="E139" t="s">
        <v>310</v>
      </c>
      <c r="F139" t="s">
        <v>258</v>
      </c>
      <c r="H139" t="s">
        <v>314</v>
      </c>
      <c r="I139">
        <v>9227754</v>
      </c>
      <c r="J139">
        <v>8278466</v>
      </c>
      <c r="K139" s="3">
        <v>0.89712700000000001</v>
      </c>
      <c r="L139">
        <v>5067365</v>
      </c>
      <c r="M139" s="3">
        <v>0.54914399999999997</v>
      </c>
      <c r="N139">
        <v>4160389</v>
      </c>
      <c r="O139" s="3">
        <v>0.45085599999999998</v>
      </c>
      <c r="P139">
        <v>0</v>
      </c>
      <c r="Q139" s="3">
        <v>0</v>
      </c>
      <c r="R139">
        <v>0</v>
      </c>
      <c r="S139" s="3">
        <v>0</v>
      </c>
    </row>
    <row r="140" spans="1:19" x14ac:dyDescent="0.3">
      <c r="A140" t="s">
        <v>257</v>
      </c>
      <c r="B140" t="s">
        <v>252</v>
      </c>
      <c r="C140" t="s">
        <v>43</v>
      </c>
      <c r="D140" s="1" t="s">
        <v>293</v>
      </c>
      <c r="E140" s="1" t="s">
        <v>309</v>
      </c>
      <c r="F140" t="s">
        <v>282</v>
      </c>
      <c r="H140" t="s">
        <v>314</v>
      </c>
      <c r="I140">
        <v>9392259</v>
      </c>
      <c r="J140">
        <v>8436249</v>
      </c>
      <c r="K140" s="3">
        <v>0.89821300000000004</v>
      </c>
      <c r="L140">
        <v>5159430</v>
      </c>
      <c r="M140" s="3">
        <v>0.54932800000000004</v>
      </c>
      <c r="N140">
        <v>4232829</v>
      </c>
      <c r="O140" s="3">
        <v>0.45067200000000002</v>
      </c>
      <c r="P140">
        <v>0</v>
      </c>
      <c r="Q140" s="3">
        <v>0</v>
      </c>
      <c r="R140">
        <v>0</v>
      </c>
      <c r="S140" s="3">
        <v>0</v>
      </c>
    </row>
    <row r="141" spans="1:19" x14ac:dyDescent="0.3">
      <c r="A141" t="s">
        <v>257</v>
      </c>
      <c r="B141" t="s">
        <v>252</v>
      </c>
      <c r="C141" t="s">
        <v>43</v>
      </c>
      <c r="D141" s="1" t="s">
        <v>293</v>
      </c>
      <c r="E141" s="1" t="s">
        <v>311</v>
      </c>
      <c r="F141" t="s">
        <v>288</v>
      </c>
      <c r="H141" t="s">
        <v>314</v>
      </c>
      <c r="I141">
        <v>15602680</v>
      </c>
      <c r="J141">
        <v>14024438</v>
      </c>
      <c r="K141" s="3">
        <v>0.89884799999999998</v>
      </c>
      <c r="L141">
        <v>8573767</v>
      </c>
      <c r="M141" s="3">
        <v>0.54950600000000005</v>
      </c>
      <c r="N141">
        <v>7028913</v>
      </c>
      <c r="O141" s="3">
        <v>0.45049400000000001</v>
      </c>
      <c r="P141">
        <v>0</v>
      </c>
      <c r="Q141" s="3">
        <v>0</v>
      </c>
      <c r="R141">
        <v>0</v>
      </c>
      <c r="S141" s="3">
        <v>0</v>
      </c>
    </row>
    <row r="142" spans="1:19" x14ac:dyDescent="0.3">
      <c r="A142" t="s">
        <v>257</v>
      </c>
      <c r="B142" t="s">
        <v>236</v>
      </c>
      <c r="C142" t="s">
        <v>43</v>
      </c>
      <c r="D142" s="1" t="s">
        <v>293</v>
      </c>
      <c r="E142" s="1" t="s">
        <v>310</v>
      </c>
      <c r="F142" t="s">
        <v>264</v>
      </c>
      <c r="H142" t="s">
        <v>314</v>
      </c>
      <c r="I142">
        <v>9490350</v>
      </c>
      <c r="J142">
        <v>9174170</v>
      </c>
      <c r="K142" s="3">
        <v>0.96668399999999999</v>
      </c>
      <c r="L142">
        <v>4784448</v>
      </c>
      <c r="M142" s="3">
        <v>0.50413799999999998</v>
      </c>
      <c r="N142">
        <v>4705902</v>
      </c>
      <c r="O142" s="3">
        <v>0.49586200000000002</v>
      </c>
      <c r="P142">
        <v>341</v>
      </c>
      <c r="Q142" s="3">
        <v>3.5931199999999999E-5</v>
      </c>
    </row>
    <row r="143" spans="1:19" x14ac:dyDescent="0.3">
      <c r="A143" t="s">
        <v>257</v>
      </c>
      <c r="B143" t="s">
        <v>236</v>
      </c>
      <c r="C143" t="s">
        <v>43</v>
      </c>
      <c r="D143" s="1" t="s">
        <v>293</v>
      </c>
      <c r="E143" s="1" t="s">
        <v>310</v>
      </c>
      <c r="F143" t="s">
        <v>268</v>
      </c>
      <c r="H143" t="s">
        <v>314</v>
      </c>
      <c r="I143">
        <v>18599098</v>
      </c>
      <c r="J143">
        <v>18159285</v>
      </c>
      <c r="K143" s="3">
        <v>0.97635300000000003</v>
      </c>
      <c r="L143">
        <v>9371087</v>
      </c>
      <c r="M143" s="3">
        <v>0.50384600000000002</v>
      </c>
      <c r="N143">
        <v>9228011</v>
      </c>
      <c r="O143" s="3">
        <v>0.49615399999999998</v>
      </c>
      <c r="P143">
        <v>866</v>
      </c>
      <c r="Q143" s="3">
        <v>4.6561399999999998E-5</v>
      </c>
    </row>
    <row r="144" spans="1:19" x14ac:dyDescent="0.3">
      <c r="A144" t="s">
        <v>257</v>
      </c>
      <c r="B144" t="s">
        <v>236</v>
      </c>
      <c r="C144" t="s">
        <v>43</v>
      </c>
      <c r="D144" s="1" t="s">
        <v>293</v>
      </c>
      <c r="E144" s="1" t="s">
        <v>311</v>
      </c>
      <c r="F144" t="s">
        <v>263</v>
      </c>
      <c r="H144" t="s">
        <v>314</v>
      </c>
      <c r="I144">
        <v>9036950</v>
      </c>
      <c r="J144">
        <v>8825091</v>
      </c>
      <c r="K144" s="3">
        <v>0.97655599999999998</v>
      </c>
      <c r="L144">
        <v>4565086</v>
      </c>
      <c r="M144" s="3">
        <v>0.505158</v>
      </c>
      <c r="N144">
        <v>4471864</v>
      </c>
      <c r="O144" s="3">
        <v>0.494842</v>
      </c>
      <c r="P144">
        <v>577</v>
      </c>
      <c r="Q144" s="3">
        <v>6.3849000000000005E-5</v>
      </c>
    </row>
    <row r="145" spans="1:17" x14ac:dyDescent="0.3">
      <c r="A145" t="s">
        <v>257</v>
      </c>
      <c r="B145" t="s">
        <v>236</v>
      </c>
      <c r="C145" t="s">
        <v>43</v>
      </c>
      <c r="D145" s="1" t="s">
        <v>293</v>
      </c>
      <c r="E145" s="1" t="s">
        <v>310</v>
      </c>
      <c r="F145" t="s">
        <v>269</v>
      </c>
      <c r="H145" t="s">
        <v>314</v>
      </c>
      <c r="I145">
        <v>10940695</v>
      </c>
      <c r="J145">
        <v>10721995</v>
      </c>
      <c r="K145" s="3">
        <v>0.98001000000000005</v>
      </c>
      <c r="L145">
        <v>5470667</v>
      </c>
      <c r="M145" s="3">
        <v>0.50002899999999995</v>
      </c>
      <c r="N145">
        <v>5470028</v>
      </c>
      <c r="O145" s="3">
        <v>0.499971</v>
      </c>
      <c r="P145">
        <v>373</v>
      </c>
      <c r="Q145" s="3">
        <v>3.40929E-5</v>
      </c>
    </row>
    <row r="146" spans="1:17" x14ac:dyDescent="0.3">
      <c r="A146" t="s">
        <v>257</v>
      </c>
      <c r="B146" t="s">
        <v>236</v>
      </c>
      <c r="C146" t="s">
        <v>43</v>
      </c>
      <c r="D146" s="1" t="s">
        <v>293</v>
      </c>
      <c r="E146" s="1" t="s">
        <v>309</v>
      </c>
      <c r="F146" t="s">
        <v>283</v>
      </c>
      <c r="H146" t="s">
        <v>314</v>
      </c>
      <c r="I146">
        <v>13137925</v>
      </c>
      <c r="J146">
        <v>12901472</v>
      </c>
      <c r="K146" s="3">
        <v>0.98200200000000004</v>
      </c>
      <c r="L146">
        <v>6635178</v>
      </c>
      <c r="M146" s="3">
        <v>0.50504000000000004</v>
      </c>
      <c r="N146">
        <v>6502747</v>
      </c>
      <c r="O146" s="3">
        <v>0.49496000000000001</v>
      </c>
      <c r="P146">
        <v>631</v>
      </c>
      <c r="Q146" s="3">
        <v>4.8028899999999997E-5</v>
      </c>
    </row>
    <row r="147" spans="1:17" x14ac:dyDescent="0.3">
      <c r="A147" t="s">
        <v>257</v>
      </c>
      <c r="B147" t="s">
        <v>236</v>
      </c>
      <c r="C147" t="s">
        <v>43</v>
      </c>
      <c r="D147" s="1" t="s">
        <v>293</v>
      </c>
      <c r="E147" s="1" t="s">
        <v>309</v>
      </c>
      <c r="F147" t="s">
        <v>279</v>
      </c>
      <c r="H147" t="s">
        <v>314</v>
      </c>
      <c r="I147">
        <v>8665284</v>
      </c>
      <c r="J147">
        <v>8509355</v>
      </c>
      <c r="K147" s="3">
        <v>0.98200500000000002</v>
      </c>
      <c r="L147">
        <v>4385173</v>
      </c>
      <c r="M147" s="3">
        <v>0.50606200000000001</v>
      </c>
      <c r="N147">
        <v>4280111</v>
      </c>
      <c r="O147" s="3">
        <v>0.49393799999999999</v>
      </c>
      <c r="P147">
        <v>436</v>
      </c>
      <c r="Q147" s="3">
        <v>5.0315699999999997E-5</v>
      </c>
    </row>
    <row r="148" spans="1:17" x14ac:dyDescent="0.3">
      <c r="A148" t="s">
        <v>257</v>
      </c>
      <c r="B148" t="s">
        <v>236</v>
      </c>
      <c r="C148" t="s">
        <v>43</v>
      </c>
      <c r="D148" s="1" t="s">
        <v>293</v>
      </c>
      <c r="E148" s="1" t="s">
        <v>310</v>
      </c>
      <c r="F148" t="s">
        <v>265</v>
      </c>
      <c r="H148" t="s">
        <v>314</v>
      </c>
      <c r="I148">
        <v>13814616</v>
      </c>
      <c r="J148">
        <v>13573147</v>
      </c>
      <c r="K148" s="3">
        <v>0.98252099999999998</v>
      </c>
      <c r="L148">
        <v>6884921</v>
      </c>
      <c r="M148" s="3">
        <v>0.49837900000000002</v>
      </c>
      <c r="N148">
        <v>6929695</v>
      </c>
      <c r="O148" s="3">
        <v>0.50162099999999998</v>
      </c>
      <c r="P148">
        <v>666</v>
      </c>
      <c r="Q148" s="3">
        <v>4.82098E-5</v>
      </c>
    </row>
    <row r="149" spans="1:17" x14ac:dyDescent="0.3">
      <c r="A149" t="s">
        <v>257</v>
      </c>
      <c r="B149" t="s">
        <v>236</v>
      </c>
      <c r="C149" t="s">
        <v>43</v>
      </c>
      <c r="D149" s="1" t="s">
        <v>293</v>
      </c>
      <c r="E149" s="1" t="s">
        <v>310</v>
      </c>
      <c r="F149" t="s">
        <v>270</v>
      </c>
      <c r="H149" t="s">
        <v>314</v>
      </c>
      <c r="I149">
        <v>10182999</v>
      </c>
      <c r="J149">
        <v>10010782</v>
      </c>
      <c r="K149" s="3">
        <v>0.98308799999999996</v>
      </c>
      <c r="L149">
        <v>5080974</v>
      </c>
      <c r="M149" s="3">
        <v>0.49896600000000002</v>
      </c>
      <c r="N149">
        <v>5102025</v>
      </c>
      <c r="O149" s="3">
        <v>0.50103399999999998</v>
      </c>
      <c r="P149">
        <v>551</v>
      </c>
      <c r="Q149" s="3">
        <v>5.4109800000000002E-5</v>
      </c>
    </row>
    <row r="150" spans="1:17" x14ac:dyDescent="0.3">
      <c r="A150" t="s">
        <v>257</v>
      </c>
      <c r="B150" t="s">
        <v>236</v>
      </c>
      <c r="C150" t="s">
        <v>43</v>
      </c>
      <c r="D150" s="1" t="s">
        <v>293</v>
      </c>
      <c r="E150" s="1" t="s">
        <v>311</v>
      </c>
      <c r="F150" t="s">
        <v>261</v>
      </c>
      <c r="H150" t="s">
        <v>314</v>
      </c>
      <c r="I150">
        <v>7305528</v>
      </c>
      <c r="J150">
        <v>7183498</v>
      </c>
      <c r="K150" s="3">
        <v>0.98329599999999995</v>
      </c>
      <c r="L150">
        <v>3665258</v>
      </c>
      <c r="M150" s="3">
        <v>0.50170999999999999</v>
      </c>
      <c r="N150">
        <v>3640270</v>
      </c>
      <c r="O150" s="3">
        <v>0.49829000000000001</v>
      </c>
      <c r="P150">
        <v>504</v>
      </c>
      <c r="Q150" s="3">
        <v>6.8988900000000006E-5</v>
      </c>
    </row>
    <row r="151" spans="1:17" x14ac:dyDescent="0.3">
      <c r="A151" t="s">
        <v>257</v>
      </c>
      <c r="B151" t="s">
        <v>236</v>
      </c>
      <c r="C151" t="s">
        <v>43</v>
      </c>
      <c r="D151" s="1" t="s">
        <v>293</v>
      </c>
      <c r="E151" s="1" t="s">
        <v>310</v>
      </c>
      <c r="F151" t="s">
        <v>266</v>
      </c>
      <c r="H151" t="s">
        <v>314</v>
      </c>
      <c r="I151">
        <v>13274215</v>
      </c>
      <c r="J151">
        <v>13099492</v>
      </c>
      <c r="K151" s="3">
        <v>0.98683699999999996</v>
      </c>
      <c r="L151">
        <v>6599767</v>
      </c>
      <c r="M151" s="3">
        <v>0.49718699999999999</v>
      </c>
      <c r="N151">
        <v>6674448</v>
      </c>
      <c r="O151" s="3">
        <v>0.50281299999999995</v>
      </c>
      <c r="P151">
        <v>570</v>
      </c>
      <c r="Q151" s="3">
        <v>4.29404E-5</v>
      </c>
    </row>
    <row r="152" spans="1:17" x14ac:dyDescent="0.3">
      <c r="A152" t="s">
        <v>257</v>
      </c>
      <c r="B152" t="s">
        <v>236</v>
      </c>
      <c r="C152" t="s">
        <v>43</v>
      </c>
      <c r="D152" s="1" t="s">
        <v>293</v>
      </c>
      <c r="E152" s="1" t="s">
        <v>311</v>
      </c>
      <c r="F152" t="s">
        <v>286</v>
      </c>
      <c r="H152" t="s">
        <v>314</v>
      </c>
      <c r="I152">
        <v>6546631</v>
      </c>
      <c r="J152">
        <v>6463394</v>
      </c>
      <c r="K152" s="3">
        <v>0.98728499999999997</v>
      </c>
      <c r="L152">
        <v>3281017</v>
      </c>
      <c r="M152" s="3">
        <v>0.50117599999999995</v>
      </c>
      <c r="N152">
        <v>3265614</v>
      </c>
      <c r="O152" s="3">
        <v>0.49882399999999999</v>
      </c>
      <c r="P152">
        <v>626</v>
      </c>
      <c r="Q152" s="3">
        <v>9.5621700000000006E-5</v>
      </c>
    </row>
    <row r="153" spans="1:17" x14ac:dyDescent="0.3">
      <c r="A153" t="s">
        <v>257</v>
      </c>
      <c r="B153" t="s">
        <v>236</v>
      </c>
      <c r="C153" t="s">
        <v>43</v>
      </c>
      <c r="D153" s="1" t="s">
        <v>293</v>
      </c>
      <c r="E153" s="1" t="s">
        <v>310</v>
      </c>
      <c r="F153" t="s">
        <v>267</v>
      </c>
      <c r="H153" t="s">
        <v>314</v>
      </c>
      <c r="I153">
        <v>12236777</v>
      </c>
      <c r="J153">
        <v>12083678</v>
      </c>
      <c r="K153" s="3">
        <v>0.98748899999999995</v>
      </c>
      <c r="L153">
        <v>6069207</v>
      </c>
      <c r="M153" s="3">
        <v>0.49598100000000001</v>
      </c>
      <c r="N153">
        <v>6167570</v>
      </c>
      <c r="O153" s="3">
        <v>0.50401899999999999</v>
      </c>
      <c r="P153">
        <v>470</v>
      </c>
      <c r="Q153" s="3">
        <v>3.8408799999999997E-5</v>
      </c>
    </row>
    <row r="154" spans="1:17" x14ac:dyDescent="0.3">
      <c r="A154" t="s">
        <v>257</v>
      </c>
      <c r="B154" t="s">
        <v>236</v>
      </c>
      <c r="C154" t="s">
        <v>43</v>
      </c>
      <c r="D154" s="1" t="s">
        <v>293</v>
      </c>
      <c r="E154" s="1" t="s">
        <v>309</v>
      </c>
      <c r="F154" t="s">
        <v>277</v>
      </c>
      <c r="H154" t="s">
        <v>314</v>
      </c>
      <c r="I154">
        <v>12890064</v>
      </c>
      <c r="J154">
        <v>12729301</v>
      </c>
      <c r="K154" s="3">
        <v>0.98752799999999996</v>
      </c>
      <c r="L154">
        <v>6493177</v>
      </c>
      <c r="M154" s="3">
        <v>0.50373500000000004</v>
      </c>
      <c r="N154">
        <v>6396887</v>
      </c>
      <c r="O154" s="3">
        <v>0.49626500000000001</v>
      </c>
      <c r="P154">
        <v>735</v>
      </c>
      <c r="Q154" s="3">
        <v>5.7020700000000001E-5</v>
      </c>
    </row>
    <row r="155" spans="1:17" x14ac:dyDescent="0.3">
      <c r="A155" t="s">
        <v>257</v>
      </c>
      <c r="B155" t="s">
        <v>236</v>
      </c>
      <c r="C155" t="s">
        <v>43</v>
      </c>
      <c r="D155" s="1" t="s">
        <v>293</v>
      </c>
      <c r="E155" s="1" t="s">
        <v>311</v>
      </c>
      <c r="F155" t="s">
        <v>260</v>
      </c>
      <c r="H155" t="s">
        <v>314</v>
      </c>
      <c r="I155">
        <v>12203445</v>
      </c>
      <c r="J155">
        <v>12051312</v>
      </c>
      <c r="K155" s="3">
        <v>0.98753400000000002</v>
      </c>
      <c r="L155">
        <v>6112654</v>
      </c>
      <c r="M155" s="3">
        <v>0.50089600000000001</v>
      </c>
      <c r="N155">
        <v>6090791</v>
      </c>
      <c r="O155" s="3">
        <v>0.49910399999999999</v>
      </c>
      <c r="P155">
        <v>775</v>
      </c>
      <c r="Q155" s="3">
        <v>6.3506700000000006E-5</v>
      </c>
    </row>
    <row r="156" spans="1:17" x14ac:dyDescent="0.3">
      <c r="A156" t="s">
        <v>257</v>
      </c>
      <c r="B156" t="s">
        <v>236</v>
      </c>
      <c r="C156" t="s">
        <v>43</v>
      </c>
      <c r="D156" s="1" t="s">
        <v>293</v>
      </c>
      <c r="E156" s="1" t="s">
        <v>309</v>
      </c>
      <c r="F156" t="s">
        <v>274</v>
      </c>
      <c r="H156" t="s">
        <v>314</v>
      </c>
      <c r="I156">
        <v>9845491</v>
      </c>
      <c r="J156">
        <v>9728512</v>
      </c>
      <c r="K156" s="3">
        <v>0.98811899999999997</v>
      </c>
      <c r="L156">
        <v>4937816</v>
      </c>
      <c r="M156" s="3">
        <v>0.50153099999999995</v>
      </c>
      <c r="N156">
        <v>4907675</v>
      </c>
      <c r="O156" s="3">
        <v>0.498469</v>
      </c>
      <c r="P156">
        <v>542</v>
      </c>
      <c r="Q156" s="3">
        <v>5.5050599999999998E-5</v>
      </c>
    </row>
    <row r="157" spans="1:17" x14ac:dyDescent="0.3">
      <c r="A157" t="s">
        <v>257</v>
      </c>
      <c r="B157" t="s">
        <v>236</v>
      </c>
      <c r="C157" t="s">
        <v>43</v>
      </c>
      <c r="D157" s="1" t="s">
        <v>293</v>
      </c>
      <c r="E157" s="1" t="s">
        <v>309</v>
      </c>
      <c r="F157" t="s">
        <v>285</v>
      </c>
      <c r="H157" t="s">
        <v>314</v>
      </c>
      <c r="I157">
        <v>7742595</v>
      </c>
      <c r="J157">
        <v>7654161</v>
      </c>
      <c r="K157" s="3">
        <v>0.98857799999999996</v>
      </c>
      <c r="L157">
        <v>3884732</v>
      </c>
      <c r="M157" s="3">
        <v>0.50173500000000004</v>
      </c>
      <c r="N157">
        <v>3857863</v>
      </c>
      <c r="O157" s="3">
        <v>0.49826500000000001</v>
      </c>
      <c r="P157">
        <v>441</v>
      </c>
      <c r="Q157" s="3">
        <v>5.6957599999999998E-5</v>
      </c>
    </row>
    <row r="158" spans="1:17" x14ac:dyDescent="0.3">
      <c r="A158" t="s">
        <v>257</v>
      </c>
      <c r="B158" t="s">
        <v>236</v>
      </c>
      <c r="C158" t="s">
        <v>43</v>
      </c>
      <c r="D158" s="1" t="s">
        <v>293</v>
      </c>
      <c r="E158" s="1" t="s">
        <v>309</v>
      </c>
      <c r="F158" t="s">
        <v>278</v>
      </c>
      <c r="H158" t="s">
        <v>314</v>
      </c>
      <c r="I158">
        <v>8584048</v>
      </c>
      <c r="J158">
        <v>8486626</v>
      </c>
      <c r="K158" s="3">
        <v>0.98865099999999995</v>
      </c>
      <c r="L158">
        <v>4312406</v>
      </c>
      <c r="M158" s="3">
        <v>0.50237399999999999</v>
      </c>
      <c r="N158">
        <v>4271642</v>
      </c>
      <c r="O158" s="3">
        <v>0.49762600000000001</v>
      </c>
      <c r="P158">
        <v>375</v>
      </c>
      <c r="Q158" s="3">
        <v>4.3685700000000001E-5</v>
      </c>
    </row>
    <row r="159" spans="1:17" x14ac:dyDescent="0.3">
      <c r="A159" t="s">
        <v>257</v>
      </c>
      <c r="B159" t="s">
        <v>236</v>
      </c>
      <c r="C159" t="s">
        <v>43</v>
      </c>
      <c r="D159" s="1" t="s">
        <v>293</v>
      </c>
      <c r="E159" s="1" t="s">
        <v>310</v>
      </c>
      <c r="F159" t="s">
        <v>272</v>
      </c>
      <c r="H159" t="s">
        <v>314</v>
      </c>
      <c r="I159">
        <v>10966892</v>
      </c>
      <c r="J159">
        <v>10843074</v>
      </c>
      <c r="K159" s="3">
        <v>0.98870999999999998</v>
      </c>
      <c r="L159">
        <v>5483421</v>
      </c>
      <c r="M159" s="3">
        <v>0.499998</v>
      </c>
      <c r="N159">
        <v>5483471</v>
      </c>
      <c r="O159" s="3">
        <v>0.50000199999999995</v>
      </c>
      <c r="P159">
        <v>479</v>
      </c>
      <c r="Q159" s="3">
        <v>4.3676900000000002E-5</v>
      </c>
    </row>
    <row r="160" spans="1:17" x14ac:dyDescent="0.3">
      <c r="A160" t="s">
        <v>257</v>
      </c>
      <c r="B160" t="s">
        <v>236</v>
      </c>
      <c r="C160" t="s">
        <v>43</v>
      </c>
      <c r="D160" s="1" t="s">
        <v>293</v>
      </c>
      <c r="E160" t="s">
        <v>310</v>
      </c>
      <c r="F160" t="s">
        <v>258</v>
      </c>
      <c r="H160" t="s">
        <v>314</v>
      </c>
      <c r="I160">
        <v>8876205</v>
      </c>
      <c r="J160">
        <v>8777714</v>
      </c>
      <c r="K160" s="3">
        <v>0.98890400000000001</v>
      </c>
      <c r="L160">
        <v>4453007</v>
      </c>
      <c r="M160" s="3">
        <v>0.50167899999999999</v>
      </c>
      <c r="N160">
        <v>4423198</v>
      </c>
      <c r="O160" s="3">
        <v>0.49832100000000001</v>
      </c>
      <c r="P160">
        <v>401</v>
      </c>
      <c r="Q160" s="3">
        <v>4.5176999999999998E-5</v>
      </c>
    </row>
    <row r="161" spans="1:17" x14ac:dyDescent="0.3">
      <c r="A161" t="s">
        <v>257</v>
      </c>
      <c r="B161" t="s">
        <v>236</v>
      </c>
      <c r="C161" t="s">
        <v>43</v>
      </c>
      <c r="D161" s="1" t="s">
        <v>293</v>
      </c>
      <c r="E161" s="1" t="s">
        <v>309</v>
      </c>
      <c r="F161" t="s">
        <v>281</v>
      </c>
      <c r="H161" t="s">
        <v>314</v>
      </c>
      <c r="I161">
        <v>9405781</v>
      </c>
      <c r="J161">
        <v>9302099</v>
      </c>
      <c r="K161" s="3">
        <v>0.98897699999999999</v>
      </c>
      <c r="L161">
        <v>4727595</v>
      </c>
      <c r="M161" s="3">
        <v>0.50262700000000005</v>
      </c>
      <c r="N161">
        <v>4678186</v>
      </c>
      <c r="O161" s="3">
        <v>0.49737399999999998</v>
      </c>
      <c r="P161">
        <v>508</v>
      </c>
      <c r="Q161" s="3">
        <v>5.4009299999999998E-5</v>
      </c>
    </row>
    <row r="162" spans="1:17" x14ac:dyDescent="0.3">
      <c r="A162" t="s">
        <v>257</v>
      </c>
      <c r="B162" t="s">
        <v>236</v>
      </c>
      <c r="C162" t="s">
        <v>43</v>
      </c>
      <c r="D162" s="1" t="s">
        <v>293</v>
      </c>
      <c r="E162" s="1" t="s">
        <v>309</v>
      </c>
      <c r="F162" t="s">
        <v>280</v>
      </c>
      <c r="H162" t="s">
        <v>314</v>
      </c>
      <c r="I162">
        <v>15782562</v>
      </c>
      <c r="J162">
        <v>15614508</v>
      </c>
      <c r="K162" s="3">
        <v>0.98935200000000001</v>
      </c>
      <c r="L162">
        <v>7908559</v>
      </c>
      <c r="M162" s="3">
        <v>0.50109499999999996</v>
      </c>
      <c r="N162">
        <v>7874003</v>
      </c>
      <c r="O162" s="3">
        <v>0.49890499999999999</v>
      </c>
      <c r="P162">
        <v>965</v>
      </c>
      <c r="Q162" s="3">
        <v>6.1143399999999995E-5</v>
      </c>
    </row>
    <row r="163" spans="1:17" x14ac:dyDescent="0.3">
      <c r="A163" t="s">
        <v>257</v>
      </c>
      <c r="B163" t="s">
        <v>236</v>
      </c>
      <c r="C163" t="s">
        <v>43</v>
      </c>
      <c r="D163" s="1" t="s">
        <v>293</v>
      </c>
      <c r="E163" s="1" t="s">
        <v>311</v>
      </c>
      <c r="F163" t="s">
        <v>287</v>
      </c>
      <c r="H163" t="s">
        <v>314</v>
      </c>
      <c r="I163">
        <v>14897918</v>
      </c>
      <c r="J163">
        <v>14744976</v>
      </c>
      <c r="K163" s="3">
        <v>0.989734</v>
      </c>
      <c r="L163">
        <v>7454303</v>
      </c>
      <c r="M163" s="3">
        <v>0.500359</v>
      </c>
      <c r="N163">
        <v>7443615</v>
      </c>
      <c r="O163" s="3">
        <v>0.499641</v>
      </c>
      <c r="P163">
        <v>996</v>
      </c>
      <c r="Q163" s="3">
        <v>6.6854999999999996E-5</v>
      </c>
    </row>
    <row r="164" spans="1:17" x14ac:dyDescent="0.3">
      <c r="A164" t="s">
        <v>257</v>
      </c>
      <c r="B164" t="s">
        <v>236</v>
      </c>
      <c r="C164" t="s">
        <v>43</v>
      </c>
      <c r="D164" s="1" t="s">
        <v>293</v>
      </c>
      <c r="E164" s="1" t="s">
        <v>309</v>
      </c>
      <c r="F164" t="s">
        <v>282</v>
      </c>
      <c r="H164" t="s">
        <v>314</v>
      </c>
      <c r="I164">
        <v>11730474</v>
      </c>
      <c r="J164">
        <v>11612514</v>
      </c>
      <c r="K164" s="3">
        <v>0.98994400000000005</v>
      </c>
      <c r="L164">
        <v>5875550</v>
      </c>
      <c r="M164" s="3">
        <v>0.50087899999999996</v>
      </c>
      <c r="N164">
        <v>5854924</v>
      </c>
      <c r="O164" s="3">
        <v>0.49912099999999998</v>
      </c>
      <c r="P164">
        <v>720</v>
      </c>
      <c r="Q164" s="3">
        <v>6.1378599999999995E-5</v>
      </c>
    </row>
    <row r="165" spans="1:17" x14ac:dyDescent="0.3">
      <c r="A165" t="s">
        <v>257</v>
      </c>
      <c r="B165" t="s">
        <v>236</v>
      </c>
      <c r="C165" t="s">
        <v>43</v>
      </c>
      <c r="D165" s="1" t="s">
        <v>293</v>
      </c>
      <c r="E165" s="1" t="s">
        <v>309</v>
      </c>
      <c r="F165" t="s">
        <v>275</v>
      </c>
      <c r="H165" t="s">
        <v>314</v>
      </c>
      <c r="I165">
        <v>14873633</v>
      </c>
      <c r="J165">
        <v>14724876</v>
      </c>
      <c r="K165" s="3">
        <v>0.98999899999999996</v>
      </c>
      <c r="L165">
        <v>7457145</v>
      </c>
      <c r="M165" s="3">
        <v>0.50136700000000001</v>
      </c>
      <c r="N165">
        <v>7416488</v>
      </c>
      <c r="O165" s="3">
        <v>0.49863299999999999</v>
      </c>
      <c r="P165">
        <v>972</v>
      </c>
      <c r="Q165" s="3">
        <v>6.5350499999999997E-5</v>
      </c>
    </row>
    <row r="166" spans="1:17" x14ac:dyDescent="0.3">
      <c r="A166" t="s">
        <v>257</v>
      </c>
      <c r="B166" t="s">
        <v>236</v>
      </c>
      <c r="C166" t="s">
        <v>43</v>
      </c>
      <c r="D166" s="1" t="s">
        <v>293</v>
      </c>
      <c r="E166" s="1" t="s">
        <v>310</v>
      </c>
      <c r="F166" t="s">
        <v>273</v>
      </c>
      <c r="H166" t="s">
        <v>314</v>
      </c>
      <c r="I166">
        <v>11287974</v>
      </c>
      <c r="J166">
        <v>11180281</v>
      </c>
      <c r="K166" s="3">
        <v>0.99046000000000001</v>
      </c>
      <c r="L166">
        <v>5631851</v>
      </c>
      <c r="M166" s="3">
        <v>0.49892500000000001</v>
      </c>
      <c r="N166">
        <v>5656123</v>
      </c>
      <c r="O166" s="3">
        <v>0.50107500000000005</v>
      </c>
      <c r="P166">
        <v>582</v>
      </c>
      <c r="Q166" s="3">
        <v>5.1559299999999999E-5</v>
      </c>
    </row>
    <row r="167" spans="1:17" x14ac:dyDescent="0.3">
      <c r="A167" t="s">
        <v>257</v>
      </c>
      <c r="B167" t="s">
        <v>236</v>
      </c>
      <c r="C167" t="s">
        <v>43</v>
      </c>
      <c r="D167" s="1" t="s">
        <v>293</v>
      </c>
      <c r="E167" s="1" t="s">
        <v>311</v>
      </c>
      <c r="F167" t="s">
        <v>288</v>
      </c>
      <c r="H167" t="s">
        <v>314</v>
      </c>
      <c r="I167">
        <v>17199075</v>
      </c>
      <c r="J167">
        <v>17036964</v>
      </c>
      <c r="K167" s="3">
        <v>0.99057399999999995</v>
      </c>
      <c r="L167">
        <v>8600294</v>
      </c>
      <c r="M167" s="3">
        <v>0.50004400000000004</v>
      </c>
      <c r="N167">
        <v>8598781</v>
      </c>
      <c r="O167" s="3">
        <v>0.49995600000000001</v>
      </c>
      <c r="P167">
        <v>1031</v>
      </c>
      <c r="Q167" s="3">
        <v>5.9945100000000003E-5</v>
      </c>
    </row>
    <row r="168" spans="1:17" x14ac:dyDescent="0.3">
      <c r="A168" t="s">
        <v>257</v>
      </c>
      <c r="B168" t="s">
        <v>236</v>
      </c>
      <c r="C168" t="s">
        <v>43</v>
      </c>
      <c r="D168" s="1" t="s">
        <v>293</v>
      </c>
      <c r="E168" s="1" t="s">
        <v>311</v>
      </c>
      <c r="F168" t="s">
        <v>289</v>
      </c>
      <c r="H168" t="s">
        <v>314</v>
      </c>
      <c r="I168">
        <v>11947323</v>
      </c>
      <c r="J168">
        <v>11834799</v>
      </c>
      <c r="K168" s="3">
        <v>0.99058199999999996</v>
      </c>
      <c r="L168">
        <v>5969317</v>
      </c>
      <c r="M168" s="3">
        <v>0.49963600000000002</v>
      </c>
      <c r="N168">
        <v>5978006</v>
      </c>
      <c r="O168" s="3">
        <v>0.50036400000000003</v>
      </c>
      <c r="P168">
        <v>667</v>
      </c>
      <c r="Q168" s="3">
        <v>5.5828400000000002E-5</v>
      </c>
    </row>
    <row r="169" spans="1:17" x14ac:dyDescent="0.3">
      <c r="A169" t="s">
        <v>257</v>
      </c>
      <c r="B169" t="s">
        <v>236</v>
      </c>
      <c r="C169" t="s">
        <v>43</v>
      </c>
      <c r="D169" s="1" t="s">
        <v>293</v>
      </c>
      <c r="E169" s="1" t="s">
        <v>311</v>
      </c>
      <c r="F169" t="s">
        <v>259</v>
      </c>
      <c r="H169" t="s">
        <v>314</v>
      </c>
      <c r="I169">
        <v>16861646</v>
      </c>
      <c r="J169">
        <v>16706810</v>
      </c>
      <c r="K169" s="3">
        <v>0.99081699999999995</v>
      </c>
      <c r="L169">
        <v>8432531</v>
      </c>
      <c r="M169" s="3">
        <v>0.50010100000000002</v>
      </c>
      <c r="N169">
        <v>8429115</v>
      </c>
      <c r="O169" s="3">
        <v>0.49989899999999998</v>
      </c>
      <c r="P169">
        <v>1075</v>
      </c>
      <c r="Q169" s="3">
        <v>6.37542E-5</v>
      </c>
    </row>
    <row r="170" spans="1:17" x14ac:dyDescent="0.3">
      <c r="A170" t="s">
        <v>257</v>
      </c>
      <c r="B170" t="s">
        <v>236</v>
      </c>
      <c r="C170" t="s">
        <v>43</v>
      </c>
      <c r="D170" s="1" t="s">
        <v>293</v>
      </c>
      <c r="E170" s="1" t="s">
        <v>310</v>
      </c>
      <c r="F170" t="s">
        <v>271</v>
      </c>
      <c r="H170" t="s">
        <v>314</v>
      </c>
      <c r="I170">
        <v>14854994</v>
      </c>
      <c r="J170">
        <v>14726769</v>
      </c>
      <c r="K170" s="3">
        <v>0.99136800000000003</v>
      </c>
      <c r="L170">
        <v>7394261</v>
      </c>
      <c r="M170" s="3">
        <v>0.49776300000000001</v>
      </c>
      <c r="N170">
        <v>7460733</v>
      </c>
      <c r="O170" s="3">
        <v>0.50223700000000004</v>
      </c>
      <c r="P170">
        <v>787</v>
      </c>
      <c r="Q170" s="3">
        <v>5.2978800000000002E-5</v>
      </c>
    </row>
    <row r="171" spans="1:17" x14ac:dyDescent="0.3">
      <c r="A171" t="s">
        <v>257</v>
      </c>
      <c r="B171" t="s">
        <v>236</v>
      </c>
      <c r="C171" t="s">
        <v>43</v>
      </c>
      <c r="D171" s="1" t="s">
        <v>293</v>
      </c>
      <c r="E171" s="1" t="s">
        <v>309</v>
      </c>
      <c r="F171" t="s">
        <v>276</v>
      </c>
      <c r="H171" t="s">
        <v>314</v>
      </c>
      <c r="I171">
        <v>6249794</v>
      </c>
      <c r="J171">
        <v>6198585</v>
      </c>
      <c r="K171" s="3">
        <v>0.99180599999999997</v>
      </c>
      <c r="L171">
        <v>3129067</v>
      </c>
      <c r="M171" s="3">
        <v>0.50066699999999997</v>
      </c>
      <c r="N171">
        <v>3120727</v>
      </c>
      <c r="O171" s="3">
        <v>0.49933300000000003</v>
      </c>
      <c r="P171">
        <v>302</v>
      </c>
      <c r="Q171" s="3">
        <v>4.8321600000000002E-5</v>
      </c>
    </row>
    <row r="172" spans="1:17" x14ac:dyDescent="0.3">
      <c r="A172" t="s">
        <v>257</v>
      </c>
      <c r="B172" t="s">
        <v>236</v>
      </c>
      <c r="C172" t="s">
        <v>43</v>
      </c>
      <c r="D172" s="1" t="s">
        <v>293</v>
      </c>
      <c r="E172" s="1" t="s">
        <v>309</v>
      </c>
      <c r="F172" t="s">
        <v>284</v>
      </c>
      <c r="H172" t="s">
        <v>314</v>
      </c>
      <c r="I172">
        <v>11088482</v>
      </c>
      <c r="J172">
        <v>10997632</v>
      </c>
      <c r="K172" s="3">
        <v>0.99180699999999999</v>
      </c>
      <c r="L172">
        <v>5541148</v>
      </c>
      <c r="M172" s="3">
        <v>0.49972100000000003</v>
      </c>
      <c r="N172">
        <v>5547334</v>
      </c>
      <c r="O172" s="3">
        <v>0.50027900000000003</v>
      </c>
      <c r="P172">
        <v>667</v>
      </c>
      <c r="Q172" s="3">
        <v>6.0152499999999997E-5</v>
      </c>
    </row>
    <row r="173" spans="1:17" x14ac:dyDescent="0.3">
      <c r="A173" t="s">
        <v>257</v>
      </c>
      <c r="B173" t="s">
        <v>236</v>
      </c>
      <c r="C173" t="s">
        <v>43</v>
      </c>
      <c r="D173" s="1" t="s">
        <v>293</v>
      </c>
      <c r="E173" s="1" t="s">
        <v>311</v>
      </c>
      <c r="F173" t="s">
        <v>262</v>
      </c>
      <c r="H173" t="s">
        <v>314</v>
      </c>
      <c r="I173">
        <v>7264006</v>
      </c>
      <c r="J173">
        <v>7207074</v>
      </c>
      <c r="K173" s="3">
        <v>0.99216199999999999</v>
      </c>
      <c r="L173">
        <v>3620857</v>
      </c>
      <c r="M173" s="3">
        <v>0.49846600000000002</v>
      </c>
      <c r="N173">
        <v>3643149</v>
      </c>
      <c r="O173" s="3">
        <v>0.50153400000000004</v>
      </c>
      <c r="P173">
        <v>423</v>
      </c>
      <c r="Q173" s="3">
        <v>5.8232300000000001E-5</v>
      </c>
    </row>
    <row r="174" spans="1:17" x14ac:dyDescent="0.3">
      <c r="A174" t="s">
        <v>257</v>
      </c>
      <c r="B174" t="s">
        <v>236</v>
      </c>
      <c r="C174" t="s">
        <v>43</v>
      </c>
      <c r="D174" s="1" t="s">
        <v>293</v>
      </c>
      <c r="E174" s="1" t="s">
        <v>311</v>
      </c>
      <c r="F174" t="s">
        <v>290</v>
      </c>
      <c r="H174" t="s">
        <v>314</v>
      </c>
      <c r="I174">
        <v>8605068</v>
      </c>
      <c r="J174">
        <v>8551206</v>
      </c>
      <c r="K174" s="3">
        <v>0.99374099999999999</v>
      </c>
      <c r="L174">
        <v>4269235</v>
      </c>
      <c r="M174" s="3">
        <v>0.49613000000000002</v>
      </c>
      <c r="N174">
        <v>4335833</v>
      </c>
      <c r="O174" s="3">
        <v>0.50387000000000004</v>
      </c>
      <c r="P174">
        <v>521</v>
      </c>
      <c r="Q174" s="3">
        <v>6.0545699999999999E-5</v>
      </c>
    </row>
    <row r="175" spans="1:17" x14ac:dyDescent="0.3">
      <c r="A175" t="s">
        <v>257</v>
      </c>
      <c r="B175" t="s">
        <v>236</v>
      </c>
      <c r="C175" t="s">
        <v>43</v>
      </c>
      <c r="D175" s="1" t="s">
        <v>293</v>
      </c>
      <c r="E175" s="1" t="s">
        <v>311</v>
      </c>
      <c r="F175" t="s">
        <v>291</v>
      </c>
      <c r="H175" t="s">
        <v>314</v>
      </c>
    </row>
    <row r="176" spans="1:17" x14ac:dyDescent="0.3">
      <c r="A176" t="s">
        <v>257</v>
      </c>
      <c r="B176" t="s">
        <v>236</v>
      </c>
      <c r="C176" t="s">
        <v>43</v>
      </c>
      <c r="D176" s="1" t="s">
        <v>293</v>
      </c>
      <c r="E176" s="1" t="s">
        <v>311</v>
      </c>
      <c r="F176" t="s">
        <v>292</v>
      </c>
      <c r="H176" t="s">
        <v>314</v>
      </c>
    </row>
    <row r="177" spans="1:19" x14ac:dyDescent="0.3">
      <c r="A177" t="s">
        <v>515</v>
      </c>
      <c r="B177" t="s">
        <v>253</v>
      </c>
      <c r="C177" t="s">
        <v>140</v>
      </c>
      <c r="D177" s="1" t="s">
        <v>475</v>
      </c>
      <c r="F177" t="s">
        <v>372</v>
      </c>
      <c r="H177" t="s">
        <v>314</v>
      </c>
      <c r="I177">
        <v>16528382</v>
      </c>
      <c r="J177">
        <v>7536126</v>
      </c>
      <c r="K177" s="3">
        <v>0.455951</v>
      </c>
      <c r="L177">
        <v>12724433</v>
      </c>
      <c r="M177" s="3">
        <v>0.76985400000000004</v>
      </c>
      <c r="N177">
        <v>3803949</v>
      </c>
      <c r="O177" s="3">
        <v>0.23014599999999999</v>
      </c>
      <c r="P177">
        <v>28429</v>
      </c>
      <c r="Q177" s="3">
        <v>1.7200099999999999E-3</v>
      </c>
      <c r="R177">
        <v>0</v>
      </c>
      <c r="S177" s="3">
        <v>0</v>
      </c>
    </row>
    <row r="178" spans="1:19" x14ac:dyDescent="0.3">
      <c r="A178" t="s">
        <v>515</v>
      </c>
      <c r="B178" t="s">
        <v>253</v>
      </c>
      <c r="C178" t="s">
        <v>140</v>
      </c>
      <c r="D178" s="1" t="s">
        <v>475</v>
      </c>
      <c r="F178" t="s">
        <v>370</v>
      </c>
      <c r="H178" t="s">
        <v>314</v>
      </c>
      <c r="I178">
        <v>19443747</v>
      </c>
      <c r="J178">
        <v>8941349</v>
      </c>
      <c r="K178" s="3">
        <v>0.45985700000000002</v>
      </c>
      <c r="L178" s="3">
        <v>0.45985700000000002</v>
      </c>
      <c r="M178">
        <v>14947705</v>
      </c>
      <c r="N178" s="3">
        <v>0.76876699999999998</v>
      </c>
      <c r="O178">
        <v>4496042</v>
      </c>
      <c r="P178" s="3">
        <v>0.23123299999999999</v>
      </c>
      <c r="Q178" s="3">
        <v>1.71788E-3</v>
      </c>
      <c r="R178">
        <v>0</v>
      </c>
      <c r="S178" s="3">
        <v>0</v>
      </c>
    </row>
    <row r="179" spans="1:19" x14ac:dyDescent="0.3">
      <c r="A179" t="s">
        <v>515</v>
      </c>
      <c r="B179" t="s">
        <v>253</v>
      </c>
      <c r="C179" t="s">
        <v>140</v>
      </c>
      <c r="D179" s="1" t="s">
        <v>475</v>
      </c>
      <c r="F179" t="s">
        <v>374</v>
      </c>
      <c r="H179" t="s">
        <v>314</v>
      </c>
      <c r="I179">
        <v>17728379</v>
      </c>
      <c r="J179">
        <v>8644666</v>
      </c>
      <c r="K179" s="3">
        <v>0.48761700000000002</v>
      </c>
      <c r="L179">
        <v>13369795</v>
      </c>
      <c r="M179" s="3">
        <v>0.75414599999999998</v>
      </c>
      <c r="N179">
        <v>4358584</v>
      </c>
      <c r="O179" s="3">
        <v>0.24585299999999999</v>
      </c>
      <c r="P179">
        <v>35669</v>
      </c>
      <c r="Q179" s="3">
        <v>2.0119700000000001E-3</v>
      </c>
      <c r="R179">
        <v>0</v>
      </c>
      <c r="S179" s="3">
        <v>0</v>
      </c>
    </row>
    <row r="180" spans="1:19" x14ac:dyDescent="0.3">
      <c r="A180" t="s">
        <v>515</v>
      </c>
      <c r="B180" t="s">
        <v>253</v>
      </c>
      <c r="C180" t="s">
        <v>140</v>
      </c>
      <c r="D180" s="1" t="s">
        <v>475</v>
      </c>
      <c r="F180" t="s">
        <v>373</v>
      </c>
      <c r="H180" t="s">
        <v>314</v>
      </c>
      <c r="I180">
        <v>16926964</v>
      </c>
      <c r="J180">
        <v>8324116</v>
      </c>
      <c r="K180" s="3">
        <v>0.49176700000000001</v>
      </c>
      <c r="L180">
        <v>12742259</v>
      </c>
      <c r="M180" s="3">
        <v>0.75277899999999998</v>
      </c>
      <c r="N180">
        <v>4184705</v>
      </c>
      <c r="O180" s="3">
        <v>0.247221</v>
      </c>
      <c r="P180">
        <v>34335</v>
      </c>
      <c r="Q180" s="3">
        <v>2.02842E-3</v>
      </c>
      <c r="R180">
        <v>0</v>
      </c>
      <c r="S180" s="3">
        <v>0</v>
      </c>
    </row>
    <row r="181" spans="1:19" x14ac:dyDescent="0.3">
      <c r="A181" t="s">
        <v>515</v>
      </c>
      <c r="B181" t="s">
        <v>253</v>
      </c>
      <c r="C181" t="s">
        <v>140</v>
      </c>
      <c r="D181" s="1" t="s">
        <v>475</v>
      </c>
      <c r="F181" t="s">
        <v>375</v>
      </c>
      <c r="H181" t="s">
        <v>314</v>
      </c>
      <c r="I181">
        <v>18650609</v>
      </c>
      <c r="J181">
        <v>9473723</v>
      </c>
      <c r="K181" s="3">
        <v>0.50795800000000002</v>
      </c>
      <c r="L181">
        <v>13895902</v>
      </c>
      <c r="M181" s="3">
        <v>0.74506399999999995</v>
      </c>
      <c r="N181">
        <v>4754707</v>
      </c>
      <c r="O181" s="3">
        <v>0.254936</v>
      </c>
      <c r="P181">
        <v>39904</v>
      </c>
      <c r="Q181" s="3">
        <v>2.13955E-3</v>
      </c>
      <c r="R181">
        <v>0</v>
      </c>
      <c r="S181" s="3">
        <v>0</v>
      </c>
    </row>
    <row r="182" spans="1:19" x14ac:dyDescent="0.3">
      <c r="A182" t="s">
        <v>515</v>
      </c>
      <c r="B182" t="s">
        <v>253</v>
      </c>
      <c r="C182" t="s">
        <v>140</v>
      </c>
      <c r="D182" s="1" t="s">
        <v>475</v>
      </c>
      <c r="F182" t="s">
        <v>366</v>
      </c>
      <c r="H182" t="s">
        <v>314</v>
      </c>
      <c r="I182">
        <v>311674577</v>
      </c>
      <c r="J182">
        <v>162119831</v>
      </c>
      <c r="K182" s="3">
        <v>0.52015699999999998</v>
      </c>
      <c r="L182">
        <v>230131575</v>
      </c>
      <c r="M182" s="3">
        <v>0.738371</v>
      </c>
      <c r="N182">
        <v>81543002</v>
      </c>
      <c r="O182" s="3">
        <v>0.261629</v>
      </c>
      <c r="P182">
        <v>694785</v>
      </c>
      <c r="Q182" s="3">
        <v>2.2292000000000002E-3</v>
      </c>
      <c r="R182">
        <v>0</v>
      </c>
      <c r="S182" s="3">
        <v>0</v>
      </c>
    </row>
    <row r="183" spans="1:19" x14ac:dyDescent="0.3">
      <c r="A183" t="s">
        <v>515</v>
      </c>
      <c r="B183" t="s">
        <v>253</v>
      </c>
      <c r="C183" t="s">
        <v>140</v>
      </c>
      <c r="D183" s="1" t="s">
        <v>475</v>
      </c>
      <c r="F183" t="s">
        <v>367</v>
      </c>
      <c r="H183" t="s">
        <v>314</v>
      </c>
      <c r="I183">
        <v>17290738</v>
      </c>
      <c r="J183">
        <v>9018351</v>
      </c>
      <c r="K183" s="3">
        <v>0.52157100000000001</v>
      </c>
      <c r="L183">
        <v>12774208</v>
      </c>
      <c r="M183" s="3">
        <v>0.73878900000000003</v>
      </c>
      <c r="N183">
        <v>4516530</v>
      </c>
      <c r="O183" s="3">
        <v>0.26121100000000003</v>
      </c>
      <c r="P183">
        <v>40176</v>
      </c>
      <c r="Q183" s="3">
        <v>2.3235600000000001E-3</v>
      </c>
      <c r="R183">
        <v>0</v>
      </c>
      <c r="S183" s="3">
        <v>0</v>
      </c>
    </row>
    <row r="184" spans="1:19" x14ac:dyDescent="0.3">
      <c r="A184" t="s">
        <v>515</v>
      </c>
      <c r="B184" t="s">
        <v>253</v>
      </c>
      <c r="C184" t="s">
        <v>140</v>
      </c>
      <c r="D184" s="1" t="s">
        <v>475</v>
      </c>
      <c r="F184" t="s">
        <v>377</v>
      </c>
      <c r="H184" t="s">
        <v>314</v>
      </c>
      <c r="I184">
        <v>18773510</v>
      </c>
      <c r="J184">
        <v>9999602</v>
      </c>
      <c r="K184" s="3">
        <v>0.53264400000000001</v>
      </c>
      <c r="L184">
        <v>13755438</v>
      </c>
      <c r="M184" s="3">
        <v>0.73270500000000005</v>
      </c>
      <c r="N184">
        <v>5018072</v>
      </c>
      <c r="O184" s="3">
        <v>0.267295</v>
      </c>
      <c r="P184">
        <v>45245</v>
      </c>
      <c r="Q184" s="3">
        <v>2.41004E-3</v>
      </c>
      <c r="R184">
        <v>0</v>
      </c>
      <c r="S184" s="3">
        <v>0</v>
      </c>
    </row>
    <row r="185" spans="1:19" x14ac:dyDescent="0.3">
      <c r="A185" t="s">
        <v>515</v>
      </c>
      <c r="B185" t="s">
        <v>253</v>
      </c>
      <c r="C185" t="s">
        <v>140</v>
      </c>
      <c r="D185" s="1" t="s">
        <v>475</v>
      </c>
      <c r="F185" t="s">
        <v>368</v>
      </c>
      <c r="H185" t="s">
        <v>314</v>
      </c>
      <c r="I185">
        <v>19593055</v>
      </c>
      <c r="J185">
        <v>10508051</v>
      </c>
      <c r="K185" s="3">
        <v>0.53631499999999999</v>
      </c>
      <c r="L185">
        <v>14317350</v>
      </c>
      <c r="M185" s="3">
        <v>0.73073600000000005</v>
      </c>
      <c r="N185">
        <v>5275705</v>
      </c>
      <c r="O185" s="3">
        <v>0.269264</v>
      </c>
      <c r="P185">
        <v>61974</v>
      </c>
      <c r="Q185" s="3">
        <v>3.1630600000000001E-3</v>
      </c>
      <c r="R185">
        <v>0</v>
      </c>
      <c r="S185" s="3">
        <v>0</v>
      </c>
    </row>
    <row r="186" spans="1:19" x14ac:dyDescent="0.3">
      <c r="A186" t="s">
        <v>515</v>
      </c>
      <c r="B186" t="s">
        <v>253</v>
      </c>
      <c r="C186" t="s">
        <v>140</v>
      </c>
      <c r="D186" s="1" t="s">
        <v>475</v>
      </c>
      <c r="F186" t="s">
        <v>378</v>
      </c>
      <c r="H186" t="s">
        <v>314</v>
      </c>
      <c r="I186">
        <v>17273502</v>
      </c>
      <c r="J186">
        <v>9650896</v>
      </c>
      <c r="K186" s="3">
        <v>0.55871099999999996</v>
      </c>
      <c r="L186">
        <v>12427053</v>
      </c>
      <c r="M186" s="3">
        <v>0.71942899999999999</v>
      </c>
      <c r="N186">
        <v>4846449</v>
      </c>
      <c r="O186" s="3">
        <v>0.28057100000000001</v>
      </c>
      <c r="P186">
        <v>41767</v>
      </c>
      <c r="Q186" s="3">
        <v>2.4179800000000001E-3</v>
      </c>
      <c r="R186">
        <v>0</v>
      </c>
      <c r="S186" s="3">
        <v>0</v>
      </c>
    </row>
    <row r="187" spans="1:19" x14ac:dyDescent="0.3">
      <c r="A187" t="s">
        <v>515</v>
      </c>
      <c r="B187" t="s">
        <v>253</v>
      </c>
      <c r="C187" t="s">
        <v>140</v>
      </c>
      <c r="D187" s="1" t="s">
        <v>475</v>
      </c>
      <c r="F187" t="s">
        <v>363</v>
      </c>
      <c r="H187" t="s">
        <v>314</v>
      </c>
      <c r="I187">
        <v>35331374</v>
      </c>
      <c r="J187">
        <v>20322047</v>
      </c>
      <c r="K187" s="3">
        <v>0.57518400000000003</v>
      </c>
      <c r="L187">
        <v>25117536</v>
      </c>
      <c r="M187" s="3">
        <v>0.71091300000000002</v>
      </c>
      <c r="N187">
        <v>10213838</v>
      </c>
      <c r="O187" s="3">
        <v>0.28908699999999998</v>
      </c>
      <c r="P187">
        <v>92096</v>
      </c>
      <c r="Q187" s="3">
        <v>2.6066399999999999E-3</v>
      </c>
      <c r="R187">
        <v>0</v>
      </c>
      <c r="S187" s="3">
        <v>0</v>
      </c>
    </row>
    <row r="188" spans="1:19" x14ac:dyDescent="0.3">
      <c r="A188" t="s">
        <v>515</v>
      </c>
      <c r="B188" t="s">
        <v>253</v>
      </c>
      <c r="C188" t="s">
        <v>140</v>
      </c>
      <c r="D188" s="1" t="s">
        <v>475</v>
      </c>
      <c r="F188" t="s">
        <v>397</v>
      </c>
      <c r="H188" t="s">
        <v>314</v>
      </c>
      <c r="I188">
        <v>37230988</v>
      </c>
      <c r="J188">
        <v>23565542</v>
      </c>
      <c r="K188" s="3">
        <v>0.63295500000000005</v>
      </c>
      <c r="L188">
        <v>25447045</v>
      </c>
      <c r="M188" s="3">
        <v>0.68349099999999996</v>
      </c>
      <c r="N188">
        <v>11783943</v>
      </c>
      <c r="O188" s="3">
        <v>0.31650899999999998</v>
      </c>
      <c r="P188">
        <v>267981</v>
      </c>
      <c r="Q188" s="3">
        <v>7.1977899999999999E-3</v>
      </c>
      <c r="R188">
        <v>0</v>
      </c>
      <c r="S188" s="3">
        <v>0</v>
      </c>
    </row>
    <row r="189" spans="1:19" x14ac:dyDescent="0.3">
      <c r="A189" t="s">
        <v>515</v>
      </c>
      <c r="B189" t="s">
        <v>253</v>
      </c>
      <c r="C189" t="s">
        <v>140</v>
      </c>
      <c r="D189" s="1" t="s">
        <v>475</v>
      </c>
      <c r="F189" t="s">
        <v>391</v>
      </c>
      <c r="H189" t="s">
        <v>314</v>
      </c>
      <c r="I189">
        <v>39585978</v>
      </c>
      <c r="J189">
        <v>25389112</v>
      </c>
      <c r="K189" s="3">
        <v>0.64136599999999999</v>
      </c>
      <c r="L189">
        <v>26883130</v>
      </c>
      <c r="M189" s="3">
        <v>0.67910700000000002</v>
      </c>
      <c r="N189">
        <v>12702848</v>
      </c>
      <c r="O189" s="3">
        <v>0.32089299999999998</v>
      </c>
      <c r="P189">
        <v>281092</v>
      </c>
      <c r="Q189" s="3">
        <v>7.1008E-3</v>
      </c>
      <c r="R189">
        <v>0</v>
      </c>
      <c r="S189" s="3">
        <v>0</v>
      </c>
    </row>
    <row r="190" spans="1:19" x14ac:dyDescent="0.3">
      <c r="A190" t="s">
        <v>515</v>
      </c>
      <c r="B190" t="s">
        <v>253</v>
      </c>
      <c r="C190" t="s">
        <v>140</v>
      </c>
      <c r="D190" s="1" t="s">
        <v>475</v>
      </c>
      <c r="F190" t="s">
        <v>393</v>
      </c>
      <c r="H190" t="s">
        <v>314</v>
      </c>
      <c r="I190">
        <v>46258886</v>
      </c>
      <c r="J190">
        <v>30562009</v>
      </c>
      <c r="K190" s="3">
        <v>0.66067299999999995</v>
      </c>
      <c r="L190">
        <v>30971626</v>
      </c>
      <c r="M190" s="3">
        <v>0.66952800000000001</v>
      </c>
      <c r="N190">
        <v>15287260</v>
      </c>
      <c r="O190" s="3">
        <v>0.33047199999999999</v>
      </c>
      <c r="P190">
        <v>355202</v>
      </c>
      <c r="Q190" s="3">
        <v>7.67857E-3</v>
      </c>
      <c r="R190">
        <v>0</v>
      </c>
      <c r="S190" s="3">
        <v>0</v>
      </c>
    </row>
    <row r="191" spans="1:19" x14ac:dyDescent="0.3">
      <c r="A191" t="s">
        <v>515</v>
      </c>
      <c r="B191" t="s">
        <v>253</v>
      </c>
      <c r="C191" t="s">
        <v>140</v>
      </c>
      <c r="D191" s="1" t="s">
        <v>475</v>
      </c>
      <c r="F191" t="s">
        <v>433</v>
      </c>
      <c r="H191" t="s">
        <v>314</v>
      </c>
      <c r="I191">
        <v>18945780</v>
      </c>
      <c r="J191">
        <v>12639167</v>
      </c>
      <c r="K191" s="3">
        <v>0.66712300000000002</v>
      </c>
      <c r="L191">
        <v>12592849</v>
      </c>
      <c r="M191" s="3">
        <v>0.66467799999999999</v>
      </c>
      <c r="N191">
        <v>6352931</v>
      </c>
      <c r="O191" s="3">
        <v>0.33532200000000001</v>
      </c>
      <c r="S191" s="3"/>
    </row>
    <row r="192" spans="1:19" x14ac:dyDescent="0.3">
      <c r="A192" t="s">
        <v>515</v>
      </c>
      <c r="B192" t="s">
        <v>253</v>
      </c>
      <c r="C192" t="s">
        <v>140</v>
      </c>
      <c r="D192" s="1" t="s">
        <v>475</v>
      </c>
      <c r="F192" t="s">
        <v>447</v>
      </c>
      <c r="H192" t="s">
        <v>314</v>
      </c>
      <c r="I192">
        <v>15933018</v>
      </c>
      <c r="J192">
        <v>10676685</v>
      </c>
      <c r="K192" s="3">
        <v>0.67009799999999997</v>
      </c>
      <c r="L192">
        <v>10547080</v>
      </c>
      <c r="M192" s="3">
        <v>0.661964</v>
      </c>
      <c r="N192">
        <v>5385938</v>
      </c>
      <c r="O192" s="3">
        <v>0.338036</v>
      </c>
      <c r="P192">
        <v>0</v>
      </c>
      <c r="Q192" s="3">
        <v>0</v>
      </c>
      <c r="R192">
        <v>0</v>
      </c>
      <c r="S192" s="3">
        <v>0</v>
      </c>
    </row>
    <row r="193" spans="1:19" x14ac:dyDescent="0.3">
      <c r="A193" t="s">
        <v>515</v>
      </c>
      <c r="B193" t="s">
        <v>253</v>
      </c>
      <c r="C193" t="s">
        <v>140</v>
      </c>
      <c r="D193" s="1" t="s">
        <v>475</v>
      </c>
      <c r="F193" t="s">
        <v>472</v>
      </c>
      <c r="H193" t="s">
        <v>314</v>
      </c>
      <c r="I193">
        <v>17541596</v>
      </c>
      <c r="J193">
        <v>11885846</v>
      </c>
      <c r="K193" s="3">
        <v>0.67758099999999999</v>
      </c>
      <c r="L193">
        <v>11600754</v>
      </c>
      <c r="M193" s="3">
        <v>0.66132800000000003</v>
      </c>
      <c r="N193">
        <v>5940842</v>
      </c>
      <c r="O193" s="3">
        <v>0.33867199999999997</v>
      </c>
      <c r="P193">
        <v>0</v>
      </c>
      <c r="Q193" s="3">
        <v>0</v>
      </c>
      <c r="R193">
        <v>0</v>
      </c>
      <c r="S193" s="3">
        <v>0</v>
      </c>
    </row>
    <row r="194" spans="1:19" x14ac:dyDescent="0.3">
      <c r="A194" t="s">
        <v>515</v>
      </c>
      <c r="B194" t="s">
        <v>253</v>
      </c>
      <c r="C194" t="s">
        <v>140</v>
      </c>
      <c r="D194" s="1" t="s">
        <v>475</v>
      </c>
      <c r="F194" t="s">
        <v>396</v>
      </c>
      <c r="H194" t="s">
        <v>314</v>
      </c>
      <c r="I194">
        <v>36103749</v>
      </c>
      <c r="J194">
        <v>24725788</v>
      </c>
      <c r="K194" s="3">
        <v>0.68485399999999996</v>
      </c>
      <c r="L194">
        <v>23646195</v>
      </c>
      <c r="M194" s="3">
        <v>0.65495099999999995</v>
      </c>
      <c r="N194">
        <v>12457554</v>
      </c>
      <c r="O194" s="3">
        <v>0.34504899999999999</v>
      </c>
      <c r="P194">
        <v>261555</v>
      </c>
      <c r="Q194" s="3">
        <v>7.2445399999999998E-3</v>
      </c>
      <c r="R194">
        <v>0</v>
      </c>
      <c r="S194" s="3">
        <v>0</v>
      </c>
    </row>
    <row r="195" spans="1:19" x14ac:dyDescent="0.3">
      <c r="A195" t="s">
        <v>515</v>
      </c>
      <c r="B195" t="s">
        <v>253</v>
      </c>
      <c r="C195" t="s">
        <v>140</v>
      </c>
      <c r="D195" s="1" t="s">
        <v>475</v>
      </c>
      <c r="F195" t="s">
        <v>434</v>
      </c>
      <c r="H195" t="s">
        <v>314</v>
      </c>
      <c r="I195">
        <v>17724995</v>
      </c>
      <c r="J195">
        <v>12149774</v>
      </c>
      <c r="K195" s="3">
        <v>0.68545999999999996</v>
      </c>
      <c r="L195">
        <v>11616346</v>
      </c>
      <c r="M195" s="3">
        <v>0.65536499999999998</v>
      </c>
      <c r="N195">
        <v>6108649</v>
      </c>
      <c r="O195" s="3">
        <v>0.34463500000000002</v>
      </c>
      <c r="S195" s="3"/>
    </row>
    <row r="196" spans="1:19" x14ac:dyDescent="0.3">
      <c r="A196" t="s">
        <v>515</v>
      </c>
      <c r="B196" t="s">
        <v>253</v>
      </c>
      <c r="C196" t="s">
        <v>140</v>
      </c>
      <c r="D196" s="1" t="s">
        <v>475</v>
      </c>
      <c r="F196" t="s">
        <v>386</v>
      </c>
      <c r="H196" t="s">
        <v>314</v>
      </c>
      <c r="I196">
        <v>39208180</v>
      </c>
      <c r="J196">
        <v>27030771</v>
      </c>
      <c r="K196" s="3">
        <v>0.68941699999999995</v>
      </c>
      <c r="L196">
        <v>25720672</v>
      </c>
      <c r="M196" s="3">
        <v>0.656003</v>
      </c>
      <c r="N196">
        <v>13487508</v>
      </c>
      <c r="O196" s="3">
        <v>0.343997</v>
      </c>
      <c r="P196">
        <v>314045</v>
      </c>
      <c r="Q196" s="3">
        <v>8.0096799999999999E-3</v>
      </c>
      <c r="R196">
        <v>0</v>
      </c>
      <c r="S196" s="3">
        <v>0</v>
      </c>
    </row>
    <row r="197" spans="1:19" x14ac:dyDescent="0.3">
      <c r="A197" t="s">
        <v>515</v>
      </c>
      <c r="B197" t="s">
        <v>253</v>
      </c>
      <c r="C197" t="s">
        <v>140</v>
      </c>
      <c r="D197" s="1" t="s">
        <v>475</v>
      </c>
      <c r="F197" t="s">
        <v>448</v>
      </c>
      <c r="H197" t="s">
        <v>314</v>
      </c>
      <c r="I197">
        <v>24173147</v>
      </c>
      <c r="J197">
        <v>16672396</v>
      </c>
      <c r="K197" s="3">
        <v>0.68970699999999996</v>
      </c>
      <c r="L197">
        <v>15890391</v>
      </c>
      <c r="M197" s="3">
        <v>0.65735699999999997</v>
      </c>
      <c r="N197">
        <v>8282756</v>
      </c>
      <c r="O197" s="3">
        <v>0.34264299999999998</v>
      </c>
      <c r="P197">
        <v>0</v>
      </c>
      <c r="Q197" s="3">
        <v>0</v>
      </c>
      <c r="R197">
        <v>0</v>
      </c>
      <c r="S197" s="3">
        <v>0</v>
      </c>
    </row>
    <row r="198" spans="1:19" x14ac:dyDescent="0.3">
      <c r="A198" t="s">
        <v>515</v>
      </c>
      <c r="B198" t="s">
        <v>253</v>
      </c>
      <c r="C198" t="s">
        <v>140</v>
      </c>
      <c r="D198" s="1" t="s">
        <v>475</v>
      </c>
      <c r="F198" t="s">
        <v>460</v>
      </c>
      <c r="H198" t="s">
        <v>314</v>
      </c>
      <c r="I198">
        <v>24454026</v>
      </c>
      <c r="J198">
        <v>16947369</v>
      </c>
      <c r="K198" s="3">
        <v>0.69303000000000003</v>
      </c>
      <c r="L198">
        <v>15931146</v>
      </c>
      <c r="M198" s="3">
        <v>0.65147299999999997</v>
      </c>
      <c r="N198">
        <v>8522880</v>
      </c>
      <c r="O198" s="3">
        <v>0.34852699999999998</v>
      </c>
      <c r="P198">
        <v>0</v>
      </c>
      <c r="Q198" s="3">
        <v>0</v>
      </c>
      <c r="R198">
        <v>0</v>
      </c>
      <c r="S198" s="3">
        <v>0</v>
      </c>
    </row>
    <row r="199" spans="1:19" x14ac:dyDescent="0.3">
      <c r="A199" t="s">
        <v>515</v>
      </c>
      <c r="B199" t="s">
        <v>253</v>
      </c>
      <c r="C199" t="s">
        <v>140</v>
      </c>
      <c r="D199" s="1" t="s">
        <v>475</v>
      </c>
      <c r="F199" t="s">
        <v>388</v>
      </c>
      <c r="H199" t="s">
        <v>314</v>
      </c>
      <c r="I199">
        <v>34184234</v>
      </c>
      <c r="J199">
        <v>23941604</v>
      </c>
      <c r="K199" s="3">
        <v>0.70037000000000005</v>
      </c>
      <c r="L199">
        <v>22235104</v>
      </c>
      <c r="M199" s="3">
        <v>0.65044900000000005</v>
      </c>
      <c r="N199">
        <v>11949130</v>
      </c>
      <c r="O199" s="3">
        <v>0.349551</v>
      </c>
      <c r="P199">
        <v>223429</v>
      </c>
      <c r="Q199" s="3">
        <v>6.53602E-3</v>
      </c>
      <c r="R199">
        <v>0</v>
      </c>
      <c r="S199" s="3">
        <v>0</v>
      </c>
    </row>
    <row r="200" spans="1:19" x14ac:dyDescent="0.3">
      <c r="A200" t="s">
        <v>515</v>
      </c>
      <c r="B200" t="s">
        <v>253</v>
      </c>
      <c r="C200" t="s">
        <v>140</v>
      </c>
      <c r="D200" s="1" t="s">
        <v>475</v>
      </c>
      <c r="F200" t="s">
        <v>389</v>
      </c>
      <c r="H200" t="s">
        <v>314</v>
      </c>
      <c r="I200">
        <v>40876689</v>
      </c>
      <c r="J200">
        <v>28642871</v>
      </c>
      <c r="K200" s="3">
        <v>0.70071399999999995</v>
      </c>
      <c r="L200">
        <v>26554216</v>
      </c>
      <c r="M200" s="3">
        <v>0.64961800000000003</v>
      </c>
      <c r="N200">
        <v>14322473</v>
      </c>
      <c r="O200" s="3">
        <v>0.35038200000000003</v>
      </c>
      <c r="P200">
        <v>275418</v>
      </c>
      <c r="Q200" s="3">
        <v>6.7377799999999996E-3</v>
      </c>
      <c r="R200">
        <v>0</v>
      </c>
      <c r="S200" s="3">
        <v>0</v>
      </c>
    </row>
    <row r="201" spans="1:19" x14ac:dyDescent="0.3">
      <c r="A201" t="s">
        <v>515</v>
      </c>
      <c r="B201" t="s">
        <v>253</v>
      </c>
      <c r="C201" t="s">
        <v>140</v>
      </c>
      <c r="D201" s="1" t="s">
        <v>475</v>
      </c>
      <c r="F201" t="s">
        <v>445</v>
      </c>
      <c r="H201" t="s">
        <v>314</v>
      </c>
      <c r="I201">
        <v>14944078</v>
      </c>
      <c r="J201">
        <v>10497157</v>
      </c>
      <c r="K201" s="3">
        <v>0.70242899999999997</v>
      </c>
      <c r="L201">
        <v>9697260</v>
      </c>
      <c r="M201" s="3">
        <v>0.64890300000000001</v>
      </c>
      <c r="N201">
        <v>5246818</v>
      </c>
      <c r="O201" s="3">
        <v>0.35109699999999999</v>
      </c>
      <c r="P201">
        <v>0</v>
      </c>
      <c r="Q201" s="3">
        <v>0</v>
      </c>
      <c r="R201">
        <v>0</v>
      </c>
      <c r="S201" s="3">
        <v>0</v>
      </c>
    </row>
    <row r="202" spans="1:19" x14ac:dyDescent="0.3">
      <c r="A202" t="s">
        <v>515</v>
      </c>
      <c r="B202" t="s">
        <v>253</v>
      </c>
      <c r="C202" t="s">
        <v>140</v>
      </c>
      <c r="D202" s="1" t="s">
        <v>475</v>
      </c>
      <c r="F202" t="s">
        <v>451</v>
      </c>
      <c r="H202" t="s">
        <v>314</v>
      </c>
      <c r="I202">
        <v>15982537</v>
      </c>
      <c r="J202">
        <v>11265258</v>
      </c>
      <c r="K202" s="3">
        <v>0.70484800000000003</v>
      </c>
      <c r="L202">
        <v>10395857</v>
      </c>
      <c r="M202" s="3">
        <v>0.650451</v>
      </c>
      <c r="N202">
        <v>5586680</v>
      </c>
      <c r="O202" s="3">
        <v>0.349549</v>
      </c>
      <c r="P202">
        <v>0</v>
      </c>
      <c r="Q202" s="3">
        <v>0</v>
      </c>
      <c r="R202">
        <v>0</v>
      </c>
      <c r="S202" s="3">
        <v>0</v>
      </c>
    </row>
    <row r="203" spans="1:19" x14ac:dyDescent="0.3">
      <c r="A203" t="s">
        <v>515</v>
      </c>
      <c r="B203" t="s">
        <v>253</v>
      </c>
      <c r="C203" t="s">
        <v>140</v>
      </c>
      <c r="D203" s="1" t="s">
        <v>475</v>
      </c>
      <c r="F203" t="s">
        <v>467</v>
      </c>
      <c r="H203" t="s">
        <v>314</v>
      </c>
      <c r="I203">
        <v>15036360</v>
      </c>
      <c r="J203">
        <v>10613290</v>
      </c>
      <c r="K203" s="3">
        <v>0.70584199999999997</v>
      </c>
      <c r="L203">
        <v>9764346</v>
      </c>
      <c r="M203" s="3">
        <v>0.64938200000000001</v>
      </c>
      <c r="N203">
        <v>5272014</v>
      </c>
      <c r="O203" s="3">
        <v>0.35061799999999999</v>
      </c>
      <c r="P203">
        <v>0</v>
      </c>
      <c r="Q203" s="3">
        <v>0</v>
      </c>
      <c r="R203">
        <v>0</v>
      </c>
      <c r="S203" s="3">
        <v>0</v>
      </c>
    </row>
    <row r="204" spans="1:19" x14ac:dyDescent="0.3">
      <c r="A204" t="s">
        <v>515</v>
      </c>
      <c r="B204" t="s">
        <v>253</v>
      </c>
      <c r="C204" t="s">
        <v>140</v>
      </c>
      <c r="D204" s="1" t="s">
        <v>475</v>
      </c>
      <c r="F204" t="s">
        <v>443</v>
      </c>
      <c r="H204" t="s">
        <v>314</v>
      </c>
      <c r="I204">
        <v>17511654</v>
      </c>
      <c r="J204">
        <v>12460319</v>
      </c>
      <c r="K204" s="3">
        <v>0.71154399999999995</v>
      </c>
      <c r="L204">
        <v>11367981</v>
      </c>
      <c r="M204" s="3">
        <v>0.64916700000000005</v>
      </c>
      <c r="N204">
        <v>6143673</v>
      </c>
      <c r="O204" s="3">
        <v>0.35083300000000001</v>
      </c>
      <c r="P204">
        <v>0</v>
      </c>
      <c r="Q204" s="3">
        <v>0</v>
      </c>
      <c r="R204">
        <v>0</v>
      </c>
      <c r="S204" s="3">
        <v>0</v>
      </c>
    </row>
    <row r="205" spans="1:19" x14ac:dyDescent="0.3">
      <c r="A205" t="s">
        <v>515</v>
      </c>
      <c r="B205" t="s">
        <v>253</v>
      </c>
      <c r="C205" t="s">
        <v>140</v>
      </c>
      <c r="D205" s="1" t="s">
        <v>475</v>
      </c>
      <c r="F205" t="s">
        <v>381</v>
      </c>
      <c r="H205" t="s">
        <v>314</v>
      </c>
      <c r="I205">
        <v>32152597</v>
      </c>
      <c r="J205">
        <v>22886705</v>
      </c>
      <c r="K205" s="3">
        <v>0.71181499999999998</v>
      </c>
      <c r="L205">
        <v>21772271</v>
      </c>
      <c r="M205" s="3">
        <v>0.67715400000000003</v>
      </c>
      <c r="N205">
        <v>10380326</v>
      </c>
      <c r="O205" s="3">
        <v>0.32284600000000002</v>
      </c>
      <c r="P205">
        <v>253216</v>
      </c>
      <c r="Q205" s="3">
        <v>7.8754500000000009E-3</v>
      </c>
      <c r="R205">
        <v>0</v>
      </c>
      <c r="S205" s="3">
        <v>0</v>
      </c>
    </row>
    <row r="206" spans="1:19" x14ac:dyDescent="0.3">
      <c r="A206" t="s">
        <v>515</v>
      </c>
      <c r="B206" t="s">
        <v>253</v>
      </c>
      <c r="C206" t="s">
        <v>140</v>
      </c>
      <c r="D206" s="1" t="s">
        <v>475</v>
      </c>
      <c r="F206" t="s">
        <v>461</v>
      </c>
      <c r="H206" t="s">
        <v>314</v>
      </c>
      <c r="I206">
        <v>16639757</v>
      </c>
      <c r="J206">
        <v>11887511</v>
      </c>
      <c r="K206" s="3">
        <v>0.71440400000000004</v>
      </c>
      <c r="L206">
        <v>10583229</v>
      </c>
      <c r="M206" s="3">
        <v>0.63602099999999995</v>
      </c>
      <c r="N206">
        <v>6056528</v>
      </c>
      <c r="O206" s="3">
        <v>0.363979</v>
      </c>
      <c r="P206">
        <v>0</v>
      </c>
      <c r="Q206" s="3">
        <v>0</v>
      </c>
      <c r="R206">
        <v>0</v>
      </c>
      <c r="S206" s="3">
        <v>0</v>
      </c>
    </row>
    <row r="207" spans="1:19" x14ac:dyDescent="0.3">
      <c r="A207" t="s">
        <v>515</v>
      </c>
      <c r="B207" t="s">
        <v>253</v>
      </c>
      <c r="C207" t="s">
        <v>140</v>
      </c>
      <c r="D207" s="1" t="s">
        <v>475</v>
      </c>
      <c r="F207" t="s">
        <v>465</v>
      </c>
      <c r="H207" t="s">
        <v>314</v>
      </c>
      <c r="I207">
        <v>15275441</v>
      </c>
      <c r="J207">
        <v>10979230</v>
      </c>
      <c r="K207" s="3">
        <v>0.71875</v>
      </c>
      <c r="L207">
        <v>10007471</v>
      </c>
      <c r="M207" s="3">
        <v>0.65513500000000002</v>
      </c>
      <c r="N207">
        <v>5267970</v>
      </c>
      <c r="O207" s="3">
        <v>0.34486499999999998</v>
      </c>
      <c r="P207">
        <v>0</v>
      </c>
      <c r="Q207" s="3">
        <v>0</v>
      </c>
      <c r="R207">
        <v>0</v>
      </c>
      <c r="S207" s="3">
        <v>0</v>
      </c>
    </row>
    <row r="208" spans="1:19" x14ac:dyDescent="0.3">
      <c r="A208" t="s">
        <v>515</v>
      </c>
      <c r="B208" t="s">
        <v>253</v>
      </c>
      <c r="C208" t="s">
        <v>140</v>
      </c>
      <c r="D208" s="1" t="s">
        <v>475</v>
      </c>
      <c r="F208" t="s">
        <v>444</v>
      </c>
      <c r="H208" t="s">
        <v>314</v>
      </c>
      <c r="I208">
        <v>20303802</v>
      </c>
      <c r="J208">
        <v>14612388</v>
      </c>
      <c r="K208" s="3">
        <v>0.71968699999999997</v>
      </c>
      <c r="L208">
        <v>13196572</v>
      </c>
      <c r="M208" s="3">
        <v>0.64995599999999998</v>
      </c>
      <c r="N208">
        <v>7107230</v>
      </c>
      <c r="O208" s="3">
        <v>0.35004400000000002</v>
      </c>
      <c r="P208">
        <v>0</v>
      </c>
      <c r="Q208" s="3">
        <v>0</v>
      </c>
      <c r="R208">
        <v>0</v>
      </c>
      <c r="S208" s="3">
        <v>0</v>
      </c>
    </row>
    <row r="209" spans="1:19" x14ac:dyDescent="0.3">
      <c r="A209" t="s">
        <v>515</v>
      </c>
      <c r="B209" t="s">
        <v>253</v>
      </c>
      <c r="C209" t="s">
        <v>140</v>
      </c>
      <c r="D209" s="1" t="s">
        <v>475</v>
      </c>
      <c r="F209" t="s">
        <v>439</v>
      </c>
      <c r="H209" t="s">
        <v>314</v>
      </c>
      <c r="I209">
        <v>25959876</v>
      </c>
      <c r="J209">
        <v>18684187</v>
      </c>
      <c r="K209" s="3">
        <v>0.71973299999999996</v>
      </c>
      <c r="L209">
        <v>16639630</v>
      </c>
      <c r="M209" s="3">
        <v>0.64097499999999996</v>
      </c>
      <c r="N209">
        <v>9320246</v>
      </c>
      <c r="O209" s="3">
        <v>0.35902499999999998</v>
      </c>
      <c r="P209">
        <v>0</v>
      </c>
      <c r="Q209" s="3">
        <v>0</v>
      </c>
      <c r="R209">
        <v>0</v>
      </c>
      <c r="S209" s="3">
        <v>0</v>
      </c>
    </row>
    <row r="210" spans="1:19" x14ac:dyDescent="0.3">
      <c r="A210" t="s">
        <v>515</v>
      </c>
      <c r="B210" t="s">
        <v>253</v>
      </c>
      <c r="C210" t="s">
        <v>140</v>
      </c>
      <c r="D210" s="1" t="s">
        <v>475</v>
      </c>
      <c r="F210" t="s">
        <v>399</v>
      </c>
      <c r="H210" t="s">
        <v>314</v>
      </c>
      <c r="I210">
        <v>36918492</v>
      </c>
      <c r="J210">
        <v>26637611</v>
      </c>
      <c r="K210" s="3">
        <v>0.72152499999999997</v>
      </c>
      <c r="L210">
        <v>23616114</v>
      </c>
      <c r="M210" s="3">
        <v>0.639683</v>
      </c>
      <c r="N210">
        <v>13302378</v>
      </c>
      <c r="O210" s="3">
        <v>0.360317</v>
      </c>
      <c r="P210">
        <v>260778</v>
      </c>
      <c r="Q210" s="3">
        <v>7.0636099999999997E-3</v>
      </c>
      <c r="R210">
        <v>0</v>
      </c>
      <c r="S210" s="3">
        <v>0</v>
      </c>
    </row>
    <row r="211" spans="1:19" x14ac:dyDescent="0.3">
      <c r="A211" t="s">
        <v>515</v>
      </c>
      <c r="B211" t="s">
        <v>253</v>
      </c>
      <c r="C211" t="s">
        <v>140</v>
      </c>
      <c r="D211" s="1" t="s">
        <v>475</v>
      </c>
      <c r="F211" t="s">
        <v>416</v>
      </c>
      <c r="H211" t="s">
        <v>314</v>
      </c>
      <c r="I211">
        <v>35752535</v>
      </c>
      <c r="J211">
        <v>25810208</v>
      </c>
      <c r="K211" s="3">
        <v>0.72191300000000003</v>
      </c>
      <c r="L211">
        <v>22810809</v>
      </c>
      <c r="M211" s="3">
        <v>0.638019</v>
      </c>
      <c r="N211">
        <v>12941726</v>
      </c>
      <c r="O211" s="3">
        <v>0.361981</v>
      </c>
      <c r="P211">
        <v>0</v>
      </c>
      <c r="Q211" s="3">
        <v>0</v>
      </c>
      <c r="R211">
        <v>0</v>
      </c>
      <c r="S211" s="3">
        <v>0</v>
      </c>
    </row>
    <row r="212" spans="1:19" x14ac:dyDescent="0.3">
      <c r="A212" t="s">
        <v>515</v>
      </c>
      <c r="B212" t="s">
        <v>253</v>
      </c>
      <c r="C212" t="s">
        <v>140</v>
      </c>
      <c r="D212" s="1" t="s">
        <v>475</v>
      </c>
      <c r="F212" t="s">
        <v>453</v>
      </c>
      <c r="H212" t="s">
        <v>314</v>
      </c>
      <c r="I212">
        <v>27927241</v>
      </c>
      <c r="J212">
        <v>20176154</v>
      </c>
      <c r="K212" s="3">
        <v>0.72245400000000004</v>
      </c>
      <c r="L212">
        <v>17716745</v>
      </c>
      <c r="M212" s="3">
        <v>0.63438899999999998</v>
      </c>
      <c r="N212">
        <v>10210496</v>
      </c>
      <c r="O212" s="3">
        <v>0.36561100000000002</v>
      </c>
      <c r="P212">
        <v>0</v>
      </c>
      <c r="Q212" s="3">
        <v>0</v>
      </c>
      <c r="R212">
        <v>0</v>
      </c>
      <c r="S212" s="3">
        <v>0</v>
      </c>
    </row>
    <row r="213" spans="1:19" x14ac:dyDescent="0.3">
      <c r="A213" t="s">
        <v>515</v>
      </c>
      <c r="B213" t="s">
        <v>253</v>
      </c>
      <c r="C213" t="s">
        <v>140</v>
      </c>
      <c r="D213" s="1" t="s">
        <v>475</v>
      </c>
      <c r="F213" t="s">
        <v>463</v>
      </c>
      <c r="H213" t="s">
        <v>314</v>
      </c>
      <c r="I213">
        <v>26085983</v>
      </c>
      <c r="J213">
        <v>18879283</v>
      </c>
      <c r="K213" s="3">
        <v>0.72373299999999996</v>
      </c>
      <c r="L213">
        <v>16584035</v>
      </c>
      <c r="M213" s="3">
        <v>0.635745</v>
      </c>
      <c r="N213">
        <v>9501948</v>
      </c>
      <c r="O213" s="3">
        <v>0.364255</v>
      </c>
      <c r="P213">
        <v>0</v>
      </c>
      <c r="Q213" s="3">
        <v>0</v>
      </c>
      <c r="R213">
        <v>0</v>
      </c>
      <c r="S213" s="3">
        <v>0</v>
      </c>
    </row>
    <row r="214" spans="1:19" x14ac:dyDescent="0.3">
      <c r="A214" t="s">
        <v>515</v>
      </c>
      <c r="B214" t="s">
        <v>253</v>
      </c>
      <c r="C214" t="s">
        <v>140</v>
      </c>
      <c r="D214" s="1" t="s">
        <v>475</v>
      </c>
      <c r="F214" t="s">
        <v>385</v>
      </c>
      <c r="H214" t="s">
        <v>314</v>
      </c>
      <c r="I214">
        <v>38847828</v>
      </c>
      <c r="J214">
        <v>28124686</v>
      </c>
      <c r="K214" s="3">
        <v>0.72397100000000003</v>
      </c>
      <c r="L214">
        <v>24796485</v>
      </c>
      <c r="M214" s="3">
        <v>0.63829800000000003</v>
      </c>
      <c r="N214">
        <v>14051343</v>
      </c>
      <c r="O214" s="3">
        <v>0.36170200000000002</v>
      </c>
      <c r="P214">
        <v>275339</v>
      </c>
      <c r="Q214" s="3">
        <v>7.0876300000000001E-3</v>
      </c>
      <c r="R214">
        <v>0</v>
      </c>
      <c r="S214" s="3">
        <v>0</v>
      </c>
    </row>
    <row r="215" spans="1:19" x14ac:dyDescent="0.3">
      <c r="A215" t="s">
        <v>515</v>
      </c>
      <c r="B215" t="s">
        <v>253</v>
      </c>
      <c r="C215" t="s">
        <v>140</v>
      </c>
      <c r="D215" s="1" t="s">
        <v>475</v>
      </c>
      <c r="F215" t="s">
        <v>455</v>
      </c>
      <c r="H215" t="s">
        <v>314</v>
      </c>
      <c r="I215">
        <v>22128046</v>
      </c>
      <c r="J215">
        <v>16023447</v>
      </c>
      <c r="K215" s="3">
        <v>0.72412399999999999</v>
      </c>
      <c r="L215">
        <v>14023578</v>
      </c>
      <c r="M215" s="3">
        <v>0.63374699999999995</v>
      </c>
      <c r="N215">
        <v>8104468</v>
      </c>
      <c r="O215" s="3">
        <v>0.366253</v>
      </c>
      <c r="P215">
        <v>0</v>
      </c>
      <c r="Q215" s="3">
        <v>0</v>
      </c>
      <c r="R215">
        <v>0</v>
      </c>
      <c r="S215" s="3">
        <v>0</v>
      </c>
    </row>
    <row r="216" spans="1:19" x14ac:dyDescent="0.3">
      <c r="A216" t="s">
        <v>515</v>
      </c>
      <c r="B216" t="s">
        <v>253</v>
      </c>
      <c r="C216" t="s">
        <v>140</v>
      </c>
      <c r="D216" s="1" t="s">
        <v>475</v>
      </c>
      <c r="F216" t="s">
        <v>471</v>
      </c>
      <c r="H216" t="s">
        <v>314</v>
      </c>
      <c r="I216">
        <v>23593490</v>
      </c>
      <c r="J216">
        <v>17097381</v>
      </c>
      <c r="K216" s="3">
        <v>0.724665</v>
      </c>
      <c r="L216">
        <v>15074830</v>
      </c>
      <c r="M216" s="3">
        <v>0.63893999999999995</v>
      </c>
      <c r="N216">
        <v>8518660</v>
      </c>
      <c r="O216" s="3">
        <v>0.36105999999999999</v>
      </c>
      <c r="P216">
        <v>0</v>
      </c>
      <c r="Q216" s="3">
        <v>0</v>
      </c>
      <c r="R216">
        <v>0</v>
      </c>
      <c r="S216" s="3">
        <v>0</v>
      </c>
    </row>
    <row r="217" spans="1:19" x14ac:dyDescent="0.3">
      <c r="A217" t="s">
        <v>515</v>
      </c>
      <c r="B217" t="s">
        <v>253</v>
      </c>
      <c r="C217" t="s">
        <v>140</v>
      </c>
      <c r="D217" s="1" t="s">
        <v>475</v>
      </c>
      <c r="F217" t="s">
        <v>469</v>
      </c>
      <c r="H217" t="s">
        <v>314</v>
      </c>
      <c r="I217">
        <v>26986034</v>
      </c>
      <c r="J217">
        <v>19574535</v>
      </c>
      <c r="K217" s="3">
        <v>0.72535799999999995</v>
      </c>
      <c r="L217">
        <v>17243709</v>
      </c>
      <c r="M217" s="3">
        <v>0.63898600000000005</v>
      </c>
      <c r="N217">
        <v>9742325</v>
      </c>
      <c r="O217" s="3">
        <v>0.361014</v>
      </c>
      <c r="P217">
        <v>0</v>
      </c>
      <c r="Q217" s="3">
        <v>0</v>
      </c>
      <c r="R217">
        <v>0</v>
      </c>
      <c r="S217" s="3">
        <v>0</v>
      </c>
    </row>
    <row r="218" spans="1:19" x14ac:dyDescent="0.3">
      <c r="A218" t="s">
        <v>515</v>
      </c>
      <c r="B218" t="s">
        <v>253</v>
      </c>
      <c r="C218" t="s">
        <v>140</v>
      </c>
      <c r="D218" s="1" t="s">
        <v>475</v>
      </c>
      <c r="F218" t="s">
        <v>442</v>
      </c>
      <c r="H218" t="s">
        <v>314</v>
      </c>
      <c r="I218">
        <v>18272820</v>
      </c>
      <c r="J218">
        <v>13269127</v>
      </c>
      <c r="K218" s="3">
        <v>0.72616700000000001</v>
      </c>
      <c r="L218">
        <v>11684560</v>
      </c>
      <c r="M218" s="3">
        <v>0.63944999999999996</v>
      </c>
      <c r="N218">
        <v>6588260</v>
      </c>
      <c r="O218" s="3">
        <v>0.36054999999999998</v>
      </c>
      <c r="P218">
        <v>0</v>
      </c>
      <c r="Q218" s="3">
        <v>0</v>
      </c>
      <c r="R218">
        <v>0</v>
      </c>
      <c r="S218" s="3">
        <v>0</v>
      </c>
    </row>
    <row r="219" spans="1:19" x14ac:dyDescent="0.3">
      <c r="A219" t="s">
        <v>515</v>
      </c>
      <c r="B219" t="s">
        <v>253</v>
      </c>
      <c r="C219" t="s">
        <v>140</v>
      </c>
      <c r="D219" s="1" t="s">
        <v>475</v>
      </c>
      <c r="F219" t="s">
        <v>449</v>
      </c>
      <c r="H219" t="s">
        <v>314</v>
      </c>
      <c r="I219">
        <v>17925983</v>
      </c>
      <c r="J219">
        <v>13125871</v>
      </c>
      <c r="K219" s="3">
        <v>0.73222600000000004</v>
      </c>
      <c r="L219">
        <v>11333138</v>
      </c>
      <c r="M219" s="3">
        <v>0.63221799999999995</v>
      </c>
      <c r="N219">
        <v>6592845</v>
      </c>
      <c r="O219" s="3">
        <v>0.36778100000000002</v>
      </c>
      <c r="P219">
        <v>0</v>
      </c>
      <c r="Q219" s="3">
        <v>0</v>
      </c>
      <c r="R219">
        <v>0</v>
      </c>
      <c r="S219" s="3">
        <v>0</v>
      </c>
    </row>
    <row r="220" spans="1:19" x14ac:dyDescent="0.3">
      <c r="A220" t="s">
        <v>515</v>
      </c>
      <c r="B220" t="s">
        <v>253</v>
      </c>
      <c r="C220" t="s">
        <v>140</v>
      </c>
      <c r="D220" s="1" t="s">
        <v>475</v>
      </c>
      <c r="F220" t="s">
        <v>441</v>
      </c>
      <c r="H220" t="s">
        <v>314</v>
      </c>
      <c r="I220">
        <v>28151053</v>
      </c>
      <c r="J220">
        <v>20667328</v>
      </c>
      <c r="K220" s="3">
        <v>0.73415799999999998</v>
      </c>
      <c r="L220">
        <v>17792548</v>
      </c>
      <c r="M220" s="3">
        <v>0.63203799999999999</v>
      </c>
      <c r="N220">
        <v>10358505</v>
      </c>
      <c r="O220" s="3">
        <v>0.36796200000000001</v>
      </c>
      <c r="P220">
        <v>0</v>
      </c>
      <c r="Q220" s="3">
        <v>0</v>
      </c>
      <c r="R220">
        <v>0</v>
      </c>
      <c r="S220" s="3">
        <v>0</v>
      </c>
    </row>
    <row r="221" spans="1:19" x14ac:dyDescent="0.3">
      <c r="A221" t="s">
        <v>515</v>
      </c>
      <c r="B221" t="s">
        <v>253</v>
      </c>
      <c r="C221" t="s">
        <v>140</v>
      </c>
      <c r="D221" s="1" t="s">
        <v>475</v>
      </c>
      <c r="F221" t="s">
        <v>452</v>
      </c>
      <c r="H221" t="s">
        <v>314</v>
      </c>
      <c r="I221">
        <v>23192923</v>
      </c>
      <c r="J221">
        <v>17049001</v>
      </c>
      <c r="K221" s="3">
        <v>0.73509500000000005</v>
      </c>
      <c r="L221">
        <v>14594981</v>
      </c>
      <c r="M221" s="3">
        <v>0.62928600000000001</v>
      </c>
      <c r="N221">
        <v>8597942</v>
      </c>
      <c r="O221" s="3">
        <v>0.37071399999999999</v>
      </c>
      <c r="P221">
        <v>0</v>
      </c>
      <c r="Q221" s="3">
        <v>0</v>
      </c>
      <c r="R221">
        <v>0</v>
      </c>
      <c r="S221" s="3">
        <v>0</v>
      </c>
    </row>
    <row r="222" spans="1:19" x14ac:dyDescent="0.3">
      <c r="A222" t="s">
        <v>515</v>
      </c>
      <c r="B222" t="s">
        <v>253</v>
      </c>
      <c r="C222" t="s">
        <v>140</v>
      </c>
      <c r="D222" s="1" t="s">
        <v>475</v>
      </c>
      <c r="F222" t="s">
        <v>462</v>
      </c>
      <c r="H222" t="s">
        <v>314</v>
      </c>
      <c r="I222">
        <v>20988280</v>
      </c>
      <c r="J222">
        <v>15436699</v>
      </c>
      <c r="K222" s="3">
        <v>0.73549100000000001</v>
      </c>
      <c r="L222">
        <v>13289507</v>
      </c>
      <c r="M222" s="3">
        <v>0.63318700000000006</v>
      </c>
      <c r="N222">
        <v>7698773</v>
      </c>
      <c r="O222" s="3">
        <v>0.366813</v>
      </c>
      <c r="P222">
        <v>0</v>
      </c>
      <c r="Q222" s="3">
        <v>0</v>
      </c>
      <c r="R222">
        <v>0</v>
      </c>
      <c r="S222" s="3">
        <v>0</v>
      </c>
    </row>
    <row r="223" spans="1:19" x14ac:dyDescent="0.3">
      <c r="A223" t="s">
        <v>515</v>
      </c>
      <c r="B223" t="s">
        <v>253</v>
      </c>
      <c r="C223" t="s">
        <v>140</v>
      </c>
      <c r="D223" s="1" t="s">
        <v>475</v>
      </c>
      <c r="F223" t="s">
        <v>382</v>
      </c>
      <c r="H223" t="s">
        <v>314</v>
      </c>
      <c r="I223">
        <v>34001671</v>
      </c>
      <c r="J223">
        <v>25072592</v>
      </c>
      <c r="K223" s="3">
        <v>0.73739299999999997</v>
      </c>
      <c r="L223">
        <v>22457120</v>
      </c>
      <c r="M223" s="3">
        <v>0.66047100000000003</v>
      </c>
      <c r="N223">
        <v>11544551</v>
      </c>
      <c r="O223" s="3">
        <v>0.33952900000000003</v>
      </c>
      <c r="P223">
        <v>307859</v>
      </c>
      <c r="Q223" s="3">
        <v>9.0542299999999999E-3</v>
      </c>
      <c r="R223">
        <v>0</v>
      </c>
      <c r="S223" s="3">
        <v>0</v>
      </c>
    </row>
    <row r="224" spans="1:19" x14ac:dyDescent="0.3">
      <c r="A224" t="s">
        <v>515</v>
      </c>
      <c r="B224" t="s">
        <v>253</v>
      </c>
      <c r="C224" t="s">
        <v>140</v>
      </c>
      <c r="D224" s="1" t="s">
        <v>475</v>
      </c>
      <c r="F224" t="s">
        <v>446</v>
      </c>
      <c r="H224" t="s">
        <v>314</v>
      </c>
      <c r="I224">
        <v>18522078</v>
      </c>
      <c r="J224">
        <v>13676100</v>
      </c>
      <c r="K224" s="3">
        <v>0.738367</v>
      </c>
      <c r="L224">
        <v>11651064</v>
      </c>
      <c r="M224" s="3">
        <v>0.62903699999999996</v>
      </c>
      <c r="N224">
        <v>6871014</v>
      </c>
      <c r="O224" s="3">
        <v>0.37096299999999999</v>
      </c>
      <c r="P224">
        <v>0</v>
      </c>
      <c r="Q224" s="3">
        <v>0</v>
      </c>
      <c r="R224">
        <v>0</v>
      </c>
      <c r="S224" s="3">
        <v>0</v>
      </c>
    </row>
    <row r="225" spans="1:19" x14ac:dyDescent="0.3">
      <c r="A225" t="s">
        <v>515</v>
      </c>
      <c r="B225" t="s">
        <v>253</v>
      </c>
      <c r="C225" t="s">
        <v>140</v>
      </c>
      <c r="D225" s="1" t="s">
        <v>475</v>
      </c>
      <c r="F225" t="s">
        <v>392</v>
      </c>
      <c r="H225" t="s">
        <v>314</v>
      </c>
      <c r="I225">
        <v>36945212</v>
      </c>
      <c r="J225">
        <v>27412725</v>
      </c>
      <c r="K225" s="3">
        <v>0.74198299999999995</v>
      </c>
      <c r="L225">
        <v>23190725</v>
      </c>
      <c r="M225" s="3">
        <v>0.62770599999999999</v>
      </c>
      <c r="N225">
        <v>13754487</v>
      </c>
      <c r="O225" s="3">
        <v>0.37229400000000001</v>
      </c>
      <c r="P225">
        <v>206177</v>
      </c>
      <c r="Q225" s="3">
        <v>5.5806099999999997E-3</v>
      </c>
      <c r="R225">
        <v>0</v>
      </c>
      <c r="S225" s="3">
        <v>0</v>
      </c>
    </row>
    <row r="226" spans="1:19" x14ac:dyDescent="0.3">
      <c r="A226" t="s">
        <v>515</v>
      </c>
      <c r="B226" t="s">
        <v>253</v>
      </c>
      <c r="C226" t="s">
        <v>140</v>
      </c>
      <c r="D226" s="1" t="s">
        <v>475</v>
      </c>
      <c r="F226" t="s">
        <v>470</v>
      </c>
      <c r="H226" t="s">
        <v>314</v>
      </c>
      <c r="I226">
        <v>23843461</v>
      </c>
      <c r="J226">
        <v>17824781</v>
      </c>
      <c r="K226" s="3">
        <v>0.74757499999999999</v>
      </c>
      <c r="L226">
        <v>15004570</v>
      </c>
      <c r="M226" s="3">
        <v>0.62929500000000005</v>
      </c>
      <c r="N226">
        <v>8838891</v>
      </c>
      <c r="O226" s="3">
        <v>0.37070500000000001</v>
      </c>
      <c r="P226">
        <v>0</v>
      </c>
      <c r="Q226" s="3">
        <v>0</v>
      </c>
      <c r="R226">
        <v>0</v>
      </c>
      <c r="S226" s="3">
        <v>0</v>
      </c>
    </row>
    <row r="227" spans="1:19" x14ac:dyDescent="0.3">
      <c r="A227" t="s">
        <v>515</v>
      </c>
      <c r="B227" t="s">
        <v>253</v>
      </c>
      <c r="C227" t="s">
        <v>140</v>
      </c>
      <c r="D227" s="1" t="s">
        <v>475</v>
      </c>
      <c r="F227" t="s">
        <v>440</v>
      </c>
      <c r="H227" t="s">
        <v>314</v>
      </c>
      <c r="I227">
        <v>25728793</v>
      </c>
      <c r="J227">
        <v>19273373</v>
      </c>
      <c r="K227" s="3">
        <v>0.74909700000000001</v>
      </c>
      <c r="L227">
        <v>16124966</v>
      </c>
      <c r="M227" s="3">
        <v>0.62672799999999995</v>
      </c>
      <c r="N227">
        <v>9603827</v>
      </c>
      <c r="O227" s="3">
        <v>0.37327199999999999</v>
      </c>
      <c r="P227">
        <v>0</v>
      </c>
      <c r="Q227" s="3">
        <v>0</v>
      </c>
      <c r="R227">
        <v>0</v>
      </c>
      <c r="S227" s="3">
        <v>0</v>
      </c>
    </row>
    <row r="228" spans="1:19" x14ac:dyDescent="0.3">
      <c r="A228" t="s">
        <v>515</v>
      </c>
      <c r="B228" t="s">
        <v>253</v>
      </c>
      <c r="C228" t="s">
        <v>140</v>
      </c>
      <c r="D228" s="1" t="s">
        <v>475</v>
      </c>
      <c r="F228" t="s">
        <v>464</v>
      </c>
      <c r="H228" t="s">
        <v>314</v>
      </c>
      <c r="I228">
        <v>16127950</v>
      </c>
      <c r="J228">
        <v>12085674</v>
      </c>
      <c r="K228" s="3">
        <v>0.74936199999999997</v>
      </c>
      <c r="L228">
        <v>9992188</v>
      </c>
      <c r="M228" s="3">
        <v>0.61955700000000002</v>
      </c>
      <c r="N228">
        <v>6135762</v>
      </c>
      <c r="O228" s="3">
        <v>0.38044299999999998</v>
      </c>
      <c r="P228">
        <v>0</v>
      </c>
      <c r="Q228" s="3">
        <v>0</v>
      </c>
      <c r="R228">
        <v>0</v>
      </c>
      <c r="S228" s="3">
        <v>0</v>
      </c>
    </row>
    <row r="229" spans="1:19" x14ac:dyDescent="0.3">
      <c r="A229" t="s">
        <v>515</v>
      </c>
      <c r="B229" t="s">
        <v>253</v>
      </c>
      <c r="C229" t="s">
        <v>140</v>
      </c>
      <c r="D229" s="1" t="s">
        <v>475</v>
      </c>
      <c r="F229" t="s">
        <v>405</v>
      </c>
      <c r="H229" t="s">
        <v>314</v>
      </c>
      <c r="I229">
        <v>36920845</v>
      </c>
      <c r="J229">
        <v>27668868</v>
      </c>
      <c r="K229" s="3">
        <v>0.74941000000000002</v>
      </c>
      <c r="L229">
        <v>23079313</v>
      </c>
      <c r="M229" s="3">
        <v>0.62510299999999996</v>
      </c>
      <c r="N229">
        <v>13841532</v>
      </c>
      <c r="O229" s="3">
        <v>0.37489699999999998</v>
      </c>
      <c r="P229">
        <v>0</v>
      </c>
      <c r="Q229" s="3">
        <v>0</v>
      </c>
      <c r="R229">
        <v>0</v>
      </c>
      <c r="S229" s="3">
        <v>0</v>
      </c>
    </row>
    <row r="230" spans="1:19" x14ac:dyDescent="0.3">
      <c r="A230" t="s">
        <v>515</v>
      </c>
      <c r="B230" t="s">
        <v>253</v>
      </c>
      <c r="C230" t="s">
        <v>140</v>
      </c>
      <c r="D230" s="1" t="s">
        <v>475</v>
      </c>
      <c r="F230" t="s">
        <v>468</v>
      </c>
      <c r="H230" t="s">
        <v>314</v>
      </c>
      <c r="I230">
        <v>13906281</v>
      </c>
      <c r="J230">
        <v>10492189</v>
      </c>
      <c r="K230" s="3">
        <v>0.75449299999999997</v>
      </c>
      <c r="L230">
        <v>8701715</v>
      </c>
      <c r="M230" s="3">
        <v>0.62573999999999996</v>
      </c>
      <c r="N230">
        <v>5204566</v>
      </c>
      <c r="O230" s="3">
        <v>0.37425999999999998</v>
      </c>
      <c r="P230">
        <v>0</v>
      </c>
      <c r="Q230" s="3">
        <v>0</v>
      </c>
      <c r="R230">
        <v>0</v>
      </c>
      <c r="S230" s="3">
        <v>0</v>
      </c>
    </row>
    <row r="231" spans="1:19" x14ac:dyDescent="0.3">
      <c r="A231" t="s">
        <v>515</v>
      </c>
      <c r="B231" t="s">
        <v>253</v>
      </c>
      <c r="C231" t="s">
        <v>140</v>
      </c>
      <c r="D231" s="1" t="s">
        <v>475</v>
      </c>
      <c r="F231" t="s">
        <v>466</v>
      </c>
      <c r="H231" t="s">
        <v>314</v>
      </c>
      <c r="I231">
        <v>17950119</v>
      </c>
      <c r="J231">
        <v>13602119</v>
      </c>
      <c r="K231" s="3">
        <v>0.75777300000000003</v>
      </c>
      <c r="L231">
        <v>11384107</v>
      </c>
      <c r="M231" s="3">
        <v>0.63420799999999999</v>
      </c>
      <c r="N231">
        <v>6566012</v>
      </c>
      <c r="O231" s="3">
        <v>0.36579200000000001</v>
      </c>
      <c r="P231">
        <v>0</v>
      </c>
      <c r="Q231" s="3">
        <v>0</v>
      </c>
      <c r="R231">
        <v>0</v>
      </c>
      <c r="S231" s="3">
        <v>0</v>
      </c>
    </row>
    <row r="232" spans="1:19" x14ac:dyDescent="0.3">
      <c r="A232" t="s">
        <v>515</v>
      </c>
      <c r="B232" t="s">
        <v>253</v>
      </c>
      <c r="C232" t="s">
        <v>140</v>
      </c>
      <c r="D232" s="1" t="s">
        <v>475</v>
      </c>
      <c r="F232" t="s">
        <v>450</v>
      </c>
      <c r="H232" t="s">
        <v>314</v>
      </c>
      <c r="I232">
        <v>22957104</v>
      </c>
      <c r="J232">
        <v>17489365</v>
      </c>
      <c r="K232" s="3">
        <v>0.76182799999999995</v>
      </c>
      <c r="L232">
        <v>14023014</v>
      </c>
      <c r="M232" s="3">
        <v>0.61083500000000002</v>
      </c>
      <c r="N232">
        <v>8934090</v>
      </c>
      <c r="O232" s="3">
        <v>0.38916499999999998</v>
      </c>
      <c r="P232">
        <v>0</v>
      </c>
      <c r="Q232" s="3">
        <v>0</v>
      </c>
      <c r="R232">
        <v>0</v>
      </c>
      <c r="S232" s="3">
        <v>0</v>
      </c>
    </row>
    <row r="233" spans="1:19" x14ac:dyDescent="0.3">
      <c r="A233" t="s">
        <v>515</v>
      </c>
      <c r="B233" t="s">
        <v>253</v>
      </c>
      <c r="C233" t="s">
        <v>140</v>
      </c>
      <c r="D233" s="1" t="s">
        <v>475</v>
      </c>
      <c r="F233" t="s">
        <v>459</v>
      </c>
      <c r="H233" t="s">
        <v>314</v>
      </c>
      <c r="I233">
        <v>26412758</v>
      </c>
      <c r="J233">
        <v>20166223</v>
      </c>
      <c r="K233" s="3">
        <v>0.76350300000000004</v>
      </c>
      <c r="L233">
        <v>16255800</v>
      </c>
      <c r="M233" s="3">
        <v>0.61545300000000003</v>
      </c>
      <c r="N233">
        <v>10156958</v>
      </c>
      <c r="O233" s="3">
        <v>0.38454700000000003</v>
      </c>
      <c r="P233">
        <v>0</v>
      </c>
      <c r="Q233" s="3">
        <v>0</v>
      </c>
      <c r="R233">
        <v>0</v>
      </c>
      <c r="S233" s="3">
        <v>0</v>
      </c>
    </row>
    <row r="234" spans="1:19" x14ac:dyDescent="0.3">
      <c r="A234" t="s">
        <v>515</v>
      </c>
      <c r="B234" t="s">
        <v>253</v>
      </c>
      <c r="C234" t="s">
        <v>140</v>
      </c>
      <c r="D234" s="1" t="s">
        <v>475</v>
      </c>
      <c r="F234" t="s">
        <v>406</v>
      </c>
      <c r="H234" t="s">
        <v>314</v>
      </c>
      <c r="I234">
        <v>37331777</v>
      </c>
      <c r="J234">
        <v>28582377</v>
      </c>
      <c r="K234" s="3">
        <v>0.76563099999999995</v>
      </c>
      <c r="L234">
        <v>23036866</v>
      </c>
      <c r="M234" s="3">
        <v>0.61708499999999999</v>
      </c>
      <c r="N234">
        <v>14294911</v>
      </c>
      <c r="O234" s="3">
        <v>0.38291500000000001</v>
      </c>
      <c r="P234">
        <v>0</v>
      </c>
      <c r="Q234" s="3">
        <v>0</v>
      </c>
      <c r="R234">
        <v>0</v>
      </c>
      <c r="S234" s="3">
        <v>0</v>
      </c>
    </row>
    <row r="235" spans="1:19" x14ac:dyDescent="0.3">
      <c r="A235" t="s">
        <v>515</v>
      </c>
      <c r="B235" t="s">
        <v>253</v>
      </c>
      <c r="C235" t="s">
        <v>140</v>
      </c>
      <c r="D235" s="1" t="s">
        <v>475</v>
      </c>
      <c r="F235" t="s">
        <v>456</v>
      </c>
      <c r="H235" t="s">
        <v>314</v>
      </c>
      <c r="I235">
        <v>24348473</v>
      </c>
      <c r="J235">
        <v>18659347</v>
      </c>
      <c r="K235" s="3">
        <v>0.76634599999999997</v>
      </c>
      <c r="L235">
        <v>14899913</v>
      </c>
      <c r="M235" s="3">
        <v>0.61194499999999996</v>
      </c>
      <c r="N235">
        <v>9448560</v>
      </c>
      <c r="O235" s="3">
        <v>0.38805600000000001</v>
      </c>
      <c r="P235">
        <v>0</v>
      </c>
      <c r="Q235" s="3">
        <v>0</v>
      </c>
      <c r="R235">
        <v>0</v>
      </c>
      <c r="S235" s="3">
        <v>0</v>
      </c>
    </row>
    <row r="236" spans="1:19" x14ac:dyDescent="0.3">
      <c r="A236" t="s">
        <v>515</v>
      </c>
      <c r="B236" t="s">
        <v>253</v>
      </c>
      <c r="C236" t="s">
        <v>140</v>
      </c>
      <c r="D236" s="1" t="s">
        <v>475</v>
      </c>
      <c r="F236" t="s">
        <v>424</v>
      </c>
      <c r="H236" t="s">
        <v>314</v>
      </c>
      <c r="I236">
        <v>39993932</v>
      </c>
      <c r="J236">
        <v>30667986</v>
      </c>
      <c r="K236" s="3">
        <v>0.76681600000000005</v>
      </c>
      <c r="L236">
        <v>24544559</v>
      </c>
      <c r="M236" s="3">
        <v>0.613707</v>
      </c>
      <c r="N236">
        <v>15449373</v>
      </c>
      <c r="O236" s="3">
        <v>0.386293</v>
      </c>
      <c r="P236">
        <v>0</v>
      </c>
      <c r="Q236" s="3">
        <v>0</v>
      </c>
      <c r="R236">
        <v>0</v>
      </c>
      <c r="S236" s="3">
        <v>0</v>
      </c>
    </row>
    <row r="237" spans="1:19" x14ac:dyDescent="0.3">
      <c r="A237" t="s">
        <v>515</v>
      </c>
      <c r="B237" t="s">
        <v>253</v>
      </c>
      <c r="C237" t="s">
        <v>140</v>
      </c>
      <c r="D237" s="1" t="s">
        <v>475</v>
      </c>
      <c r="F237" t="s">
        <v>458</v>
      </c>
      <c r="H237" t="s">
        <v>314</v>
      </c>
      <c r="I237">
        <v>25148245</v>
      </c>
      <c r="J237">
        <v>19294146</v>
      </c>
      <c r="K237" s="3">
        <v>0.76721600000000001</v>
      </c>
      <c r="L237">
        <v>15340793</v>
      </c>
      <c r="M237" s="3">
        <v>0.61001399999999995</v>
      </c>
      <c r="N237">
        <v>9807452</v>
      </c>
      <c r="O237" s="3">
        <v>0.389986</v>
      </c>
      <c r="P237">
        <v>0</v>
      </c>
      <c r="Q237" s="3">
        <v>0</v>
      </c>
      <c r="R237">
        <v>0</v>
      </c>
      <c r="S237" s="3">
        <v>0</v>
      </c>
    </row>
    <row r="238" spans="1:19" x14ac:dyDescent="0.3">
      <c r="A238" t="s">
        <v>515</v>
      </c>
      <c r="B238" t="s">
        <v>253</v>
      </c>
      <c r="C238" t="s">
        <v>140</v>
      </c>
      <c r="D238" s="1" t="s">
        <v>475</v>
      </c>
      <c r="F238" t="s">
        <v>387</v>
      </c>
      <c r="H238" t="s">
        <v>314</v>
      </c>
      <c r="I238">
        <v>40552946</v>
      </c>
      <c r="J238">
        <v>31152524</v>
      </c>
      <c r="K238" s="3">
        <v>0.76819400000000004</v>
      </c>
      <c r="L238">
        <v>25022179</v>
      </c>
      <c r="M238" s="3">
        <v>0.61702500000000005</v>
      </c>
      <c r="N238">
        <v>15530767</v>
      </c>
      <c r="O238" s="3">
        <v>0.38297500000000001</v>
      </c>
      <c r="P238">
        <v>231995</v>
      </c>
      <c r="Q238" s="3">
        <v>5.7207899999999999E-3</v>
      </c>
      <c r="R238">
        <v>0</v>
      </c>
      <c r="S238" s="3">
        <v>0</v>
      </c>
    </row>
    <row r="239" spans="1:19" x14ac:dyDescent="0.3">
      <c r="A239" t="s">
        <v>515</v>
      </c>
      <c r="B239" t="s">
        <v>253</v>
      </c>
      <c r="C239" t="s">
        <v>140</v>
      </c>
      <c r="D239" s="1" t="s">
        <v>475</v>
      </c>
      <c r="F239" t="s">
        <v>457</v>
      </c>
      <c r="H239" t="s">
        <v>314</v>
      </c>
      <c r="I239">
        <v>25962763</v>
      </c>
      <c r="J239">
        <v>20006315</v>
      </c>
      <c r="K239" s="3">
        <v>0.77057699999999996</v>
      </c>
      <c r="L239">
        <v>15810452</v>
      </c>
      <c r="M239" s="3">
        <v>0.60896600000000001</v>
      </c>
      <c r="N239">
        <v>10152311</v>
      </c>
      <c r="O239" s="3">
        <v>0.39103399999999999</v>
      </c>
      <c r="P239">
        <v>0</v>
      </c>
      <c r="Q239" s="3">
        <v>0</v>
      </c>
      <c r="R239">
        <v>0</v>
      </c>
      <c r="S239" s="3">
        <v>0</v>
      </c>
    </row>
    <row r="240" spans="1:19" x14ac:dyDescent="0.3">
      <c r="A240" t="s">
        <v>515</v>
      </c>
      <c r="B240" t="s">
        <v>253</v>
      </c>
      <c r="C240" t="s">
        <v>140</v>
      </c>
      <c r="D240" s="1" t="s">
        <v>475</v>
      </c>
      <c r="F240" t="s">
        <v>415</v>
      </c>
      <c r="H240" t="s">
        <v>314</v>
      </c>
      <c r="I240">
        <v>39685313</v>
      </c>
      <c r="J240">
        <v>30698016</v>
      </c>
      <c r="K240" s="3">
        <v>0.773536</v>
      </c>
      <c r="L240">
        <v>24302738</v>
      </c>
      <c r="M240" s="3">
        <v>0.61238599999999999</v>
      </c>
      <c r="N240">
        <v>15382575</v>
      </c>
      <c r="O240" s="3">
        <v>0.38761400000000001</v>
      </c>
      <c r="P240">
        <v>0</v>
      </c>
      <c r="Q240" s="3">
        <v>0</v>
      </c>
      <c r="R240">
        <v>0</v>
      </c>
      <c r="S240" s="3">
        <v>0</v>
      </c>
    </row>
    <row r="241" spans="1:19" x14ac:dyDescent="0.3">
      <c r="A241" t="s">
        <v>515</v>
      </c>
      <c r="B241" t="s">
        <v>253</v>
      </c>
      <c r="C241" t="s">
        <v>140</v>
      </c>
      <c r="D241" s="1" t="s">
        <v>475</v>
      </c>
      <c r="F241" t="s">
        <v>432</v>
      </c>
      <c r="H241" t="s">
        <v>314</v>
      </c>
      <c r="I241">
        <v>49691583</v>
      </c>
      <c r="J241">
        <v>38523294</v>
      </c>
      <c r="K241" s="3">
        <v>0.77524800000000005</v>
      </c>
      <c r="L241">
        <v>30340827</v>
      </c>
      <c r="M241" s="3">
        <v>0.61058299999999999</v>
      </c>
      <c r="N241">
        <v>19350756</v>
      </c>
      <c r="O241" s="3">
        <v>0.38941700000000001</v>
      </c>
      <c r="S241" s="3"/>
    </row>
    <row r="242" spans="1:19" x14ac:dyDescent="0.3">
      <c r="A242" t="s">
        <v>515</v>
      </c>
      <c r="B242" t="s">
        <v>253</v>
      </c>
      <c r="C242" t="s">
        <v>140</v>
      </c>
      <c r="D242" s="1" t="s">
        <v>475</v>
      </c>
      <c r="F242" t="s">
        <v>419</v>
      </c>
      <c r="H242" t="s">
        <v>314</v>
      </c>
      <c r="I242">
        <v>36851443</v>
      </c>
      <c r="J242">
        <v>28642587</v>
      </c>
      <c r="K242" s="3">
        <v>0.77724499999999996</v>
      </c>
      <c r="L242">
        <v>22484471</v>
      </c>
      <c r="M242" s="3">
        <v>0.61013799999999996</v>
      </c>
      <c r="N242">
        <v>14366972</v>
      </c>
      <c r="O242" s="3">
        <v>0.38986199999999999</v>
      </c>
      <c r="P242">
        <v>0</v>
      </c>
      <c r="Q242" s="3">
        <v>0</v>
      </c>
      <c r="R242">
        <v>0</v>
      </c>
      <c r="S242" s="3">
        <v>0</v>
      </c>
    </row>
    <row r="243" spans="1:19" x14ac:dyDescent="0.3">
      <c r="A243" t="s">
        <v>515</v>
      </c>
      <c r="B243" t="s">
        <v>253</v>
      </c>
      <c r="C243" t="s">
        <v>140</v>
      </c>
      <c r="D243" s="1" t="s">
        <v>475</v>
      </c>
      <c r="F243" t="s">
        <v>417</v>
      </c>
      <c r="H243" t="s">
        <v>314</v>
      </c>
      <c r="I243">
        <v>38715207</v>
      </c>
      <c r="J243">
        <v>30161936</v>
      </c>
      <c r="K243" s="3">
        <v>0.77907199999999999</v>
      </c>
      <c r="L243">
        <v>23598315</v>
      </c>
      <c r="M243" s="3">
        <v>0.60953599999999997</v>
      </c>
      <c r="N243">
        <v>15116892</v>
      </c>
      <c r="O243" s="3">
        <v>0.39046399999999998</v>
      </c>
      <c r="P243">
        <v>0</v>
      </c>
      <c r="Q243" s="3">
        <v>0</v>
      </c>
      <c r="R243">
        <v>0</v>
      </c>
      <c r="S243" s="3">
        <v>0</v>
      </c>
    </row>
    <row r="244" spans="1:19" x14ac:dyDescent="0.3">
      <c r="A244" t="s">
        <v>515</v>
      </c>
      <c r="B244" t="s">
        <v>253</v>
      </c>
      <c r="C244" t="s">
        <v>140</v>
      </c>
      <c r="D244" s="1" t="s">
        <v>475</v>
      </c>
      <c r="F244" t="s">
        <v>420</v>
      </c>
      <c r="H244" t="s">
        <v>314</v>
      </c>
      <c r="I244">
        <v>32938532</v>
      </c>
      <c r="J244">
        <v>25709743</v>
      </c>
      <c r="K244" s="3">
        <v>0.78053700000000004</v>
      </c>
      <c r="L244">
        <v>20027042</v>
      </c>
      <c r="M244" s="3">
        <v>0.60801300000000003</v>
      </c>
      <c r="N244">
        <v>12911490</v>
      </c>
      <c r="O244" s="3">
        <v>0.39198699999999997</v>
      </c>
      <c r="P244">
        <v>0</v>
      </c>
      <c r="Q244" s="3">
        <v>0</v>
      </c>
      <c r="R244">
        <v>0</v>
      </c>
      <c r="S244" s="3">
        <v>0</v>
      </c>
    </row>
    <row r="245" spans="1:19" x14ac:dyDescent="0.3">
      <c r="A245" t="s">
        <v>515</v>
      </c>
      <c r="B245" t="s">
        <v>253</v>
      </c>
      <c r="C245" t="s">
        <v>140</v>
      </c>
      <c r="D245" s="1" t="s">
        <v>475</v>
      </c>
      <c r="F245" t="s">
        <v>423</v>
      </c>
      <c r="H245" t="s">
        <v>314</v>
      </c>
      <c r="I245">
        <v>39393064</v>
      </c>
      <c r="J245">
        <v>30760901</v>
      </c>
      <c r="K245" s="3">
        <v>0.78087099999999998</v>
      </c>
      <c r="L245">
        <v>23915614</v>
      </c>
      <c r="M245" s="3">
        <v>0.60710200000000003</v>
      </c>
      <c r="N245">
        <v>15477450</v>
      </c>
      <c r="O245" s="3">
        <v>0.39289800000000003</v>
      </c>
      <c r="P245">
        <v>0</v>
      </c>
      <c r="Q245" s="3">
        <v>0</v>
      </c>
      <c r="R245">
        <v>0</v>
      </c>
      <c r="S245" s="3">
        <v>0</v>
      </c>
    </row>
    <row r="246" spans="1:19" x14ac:dyDescent="0.3">
      <c r="A246" t="s">
        <v>515</v>
      </c>
      <c r="B246" t="s">
        <v>253</v>
      </c>
      <c r="C246" t="s">
        <v>140</v>
      </c>
      <c r="D246" s="1" t="s">
        <v>475</v>
      </c>
      <c r="F246" t="s">
        <v>454</v>
      </c>
      <c r="H246" t="s">
        <v>314</v>
      </c>
      <c r="I246">
        <v>31113608</v>
      </c>
      <c r="J246">
        <v>24296840</v>
      </c>
      <c r="K246" s="3">
        <v>0.78090700000000002</v>
      </c>
      <c r="L246">
        <v>18763842</v>
      </c>
      <c r="M246" s="3">
        <v>0.60307500000000003</v>
      </c>
      <c r="N246">
        <v>12349766</v>
      </c>
      <c r="O246" s="3">
        <v>0.39692499999999997</v>
      </c>
      <c r="P246">
        <v>0</v>
      </c>
      <c r="Q246" s="3">
        <v>0</v>
      </c>
      <c r="R246">
        <v>0</v>
      </c>
      <c r="S246" s="3">
        <v>0</v>
      </c>
    </row>
    <row r="247" spans="1:19" x14ac:dyDescent="0.3">
      <c r="A247" t="s">
        <v>515</v>
      </c>
      <c r="B247" t="s">
        <v>253</v>
      </c>
      <c r="C247" t="s">
        <v>140</v>
      </c>
      <c r="D247" s="1" t="s">
        <v>475</v>
      </c>
      <c r="F247" t="s">
        <v>407</v>
      </c>
      <c r="H247" t="s">
        <v>314</v>
      </c>
      <c r="I247">
        <v>37227084</v>
      </c>
      <c r="J247">
        <v>29122006</v>
      </c>
      <c r="K247" s="3">
        <v>0.78227999999999998</v>
      </c>
      <c r="L247">
        <v>22651212</v>
      </c>
      <c r="M247" s="3">
        <v>0.60846100000000003</v>
      </c>
      <c r="N247">
        <v>14575872</v>
      </c>
      <c r="O247" s="3">
        <v>0.39153900000000003</v>
      </c>
      <c r="P247">
        <v>0</v>
      </c>
      <c r="Q247" s="3">
        <v>0</v>
      </c>
      <c r="R247">
        <v>0</v>
      </c>
      <c r="S247" s="3">
        <v>0</v>
      </c>
    </row>
    <row r="248" spans="1:19" x14ac:dyDescent="0.3">
      <c r="A248" t="s">
        <v>515</v>
      </c>
      <c r="B248" t="s">
        <v>253</v>
      </c>
      <c r="C248" t="s">
        <v>140</v>
      </c>
      <c r="D248" s="1" t="s">
        <v>475</v>
      </c>
      <c r="F248" t="s">
        <v>418</v>
      </c>
      <c r="H248" t="s">
        <v>314</v>
      </c>
      <c r="I248">
        <v>39881946</v>
      </c>
      <c r="J248">
        <v>31541948</v>
      </c>
      <c r="K248" s="3">
        <v>0.790883</v>
      </c>
      <c r="L248">
        <v>24053870</v>
      </c>
      <c r="M248" s="3">
        <v>0.60312699999999997</v>
      </c>
      <c r="N248">
        <v>15828076</v>
      </c>
      <c r="O248" s="3">
        <v>0.39687299999999998</v>
      </c>
      <c r="P248">
        <v>0</v>
      </c>
      <c r="Q248" s="3">
        <v>0</v>
      </c>
      <c r="R248">
        <v>0</v>
      </c>
      <c r="S248" s="3">
        <v>0</v>
      </c>
    </row>
    <row r="249" spans="1:19" x14ac:dyDescent="0.3">
      <c r="A249" t="s">
        <v>515</v>
      </c>
      <c r="B249" t="s">
        <v>253</v>
      </c>
      <c r="C249" t="s">
        <v>140</v>
      </c>
      <c r="D249" s="1" t="s">
        <v>475</v>
      </c>
      <c r="F249" t="s">
        <v>430</v>
      </c>
      <c r="H249" t="s">
        <v>314</v>
      </c>
      <c r="I249">
        <v>48539774</v>
      </c>
      <c r="J249">
        <v>38412475</v>
      </c>
      <c r="K249" s="3">
        <v>0.79136099999999998</v>
      </c>
      <c r="L249">
        <v>29264834</v>
      </c>
      <c r="M249" s="3">
        <v>0.602904</v>
      </c>
      <c r="N249">
        <v>19274940</v>
      </c>
      <c r="O249" s="3">
        <v>0.397096</v>
      </c>
      <c r="P249">
        <v>0</v>
      </c>
      <c r="Q249" s="3">
        <v>0</v>
      </c>
      <c r="R249">
        <v>0</v>
      </c>
      <c r="S249" s="3">
        <v>0</v>
      </c>
    </row>
    <row r="250" spans="1:19" x14ac:dyDescent="0.3">
      <c r="A250" t="s">
        <v>515</v>
      </c>
      <c r="B250" t="s">
        <v>253</v>
      </c>
      <c r="C250" t="s">
        <v>140</v>
      </c>
      <c r="D250" s="1" t="s">
        <v>475</v>
      </c>
      <c r="F250" t="s">
        <v>422</v>
      </c>
      <c r="H250" t="s">
        <v>314</v>
      </c>
      <c r="I250">
        <v>38406251</v>
      </c>
      <c r="J250">
        <v>30492850</v>
      </c>
      <c r="K250" s="3">
        <v>0.79395499999999997</v>
      </c>
      <c r="L250">
        <v>23096462</v>
      </c>
      <c r="M250" s="3">
        <v>0.60137200000000002</v>
      </c>
      <c r="N250">
        <v>15309789</v>
      </c>
      <c r="O250" s="3">
        <v>0.39862799999999998</v>
      </c>
      <c r="P250">
        <v>0</v>
      </c>
      <c r="Q250" s="3">
        <v>0</v>
      </c>
      <c r="R250">
        <v>0</v>
      </c>
      <c r="S250" s="3">
        <v>0</v>
      </c>
    </row>
    <row r="251" spans="1:19" x14ac:dyDescent="0.3">
      <c r="A251" t="s">
        <v>515</v>
      </c>
      <c r="B251" t="s">
        <v>253</v>
      </c>
      <c r="C251" t="s">
        <v>140</v>
      </c>
      <c r="D251" s="1" t="s">
        <v>475</v>
      </c>
      <c r="F251" t="s">
        <v>411</v>
      </c>
      <c r="H251" t="s">
        <v>314</v>
      </c>
      <c r="I251">
        <v>36824718</v>
      </c>
      <c r="J251">
        <v>29389704</v>
      </c>
      <c r="K251" s="3">
        <v>0.79809699999999995</v>
      </c>
      <c r="L251">
        <v>22052017</v>
      </c>
      <c r="M251" s="3">
        <v>0.59883699999999995</v>
      </c>
      <c r="N251">
        <v>14772701</v>
      </c>
      <c r="O251" s="3">
        <v>0.40116299999999999</v>
      </c>
      <c r="P251">
        <v>0</v>
      </c>
      <c r="Q251" s="3">
        <v>0</v>
      </c>
      <c r="R251">
        <v>0</v>
      </c>
      <c r="S251" s="3">
        <v>0</v>
      </c>
    </row>
    <row r="252" spans="1:19" x14ac:dyDescent="0.3">
      <c r="A252" t="s">
        <v>515</v>
      </c>
      <c r="B252" t="s">
        <v>253</v>
      </c>
      <c r="C252" t="s">
        <v>140</v>
      </c>
      <c r="D252" s="1" t="s">
        <v>475</v>
      </c>
      <c r="F252" t="s">
        <v>413</v>
      </c>
      <c r="H252" t="s">
        <v>314</v>
      </c>
      <c r="I252">
        <v>37852974</v>
      </c>
      <c r="J252">
        <v>30366527</v>
      </c>
      <c r="K252" s="3">
        <v>0.80222300000000002</v>
      </c>
      <c r="L252">
        <v>22606359</v>
      </c>
      <c r="M252" s="3">
        <v>0.59721500000000005</v>
      </c>
      <c r="N252">
        <v>15246615</v>
      </c>
      <c r="O252" s="3">
        <v>0.402785</v>
      </c>
      <c r="P252">
        <v>0</v>
      </c>
      <c r="Q252" s="3">
        <v>0</v>
      </c>
      <c r="R252">
        <v>0</v>
      </c>
      <c r="S252" s="3">
        <v>0</v>
      </c>
    </row>
    <row r="253" spans="1:19" x14ac:dyDescent="0.3">
      <c r="A253" t="s">
        <v>515</v>
      </c>
      <c r="B253" t="s">
        <v>253</v>
      </c>
      <c r="C253" t="s">
        <v>140</v>
      </c>
      <c r="D253" s="1" t="s">
        <v>475</v>
      </c>
      <c r="F253" t="s">
        <v>421</v>
      </c>
      <c r="H253" t="s">
        <v>314</v>
      </c>
      <c r="I253">
        <v>35122721</v>
      </c>
      <c r="J253">
        <v>28207652</v>
      </c>
      <c r="K253" s="3">
        <v>0.80311699999999997</v>
      </c>
      <c r="L253">
        <v>20963937</v>
      </c>
      <c r="M253" s="3">
        <v>0.59687699999999999</v>
      </c>
      <c r="N253">
        <v>14158784</v>
      </c>
      <c r="O253" s="3">
        <v>0.40312300000000001</v>
      </c>
      <c r="P253">
        <v>0</v>
      </c>
      <c r="Q253" s="3">
        <v>0</v>
      </c>
      <c r="R253">
        <v>0</v>
      </c>
      <c r="S253" s="3">
        <v>0</v>
      </c>
    </row>
    <row r="254" spans="1:19" x14ac:dyDescent="0.3">
      <c r="A254" t="s">
        <v>515</v>
      </c>
      <c r="B254" t="s">
        <v>253</v>
      </c>
      <c r="C254" t="s">
        <v>140</v>
      </c>
      <c r="D254" s="1" t="s">
        <v>475</v>
      </c>
      <c r="F254" t="s">
        <v>408</v>
      </c>
      <c r="H254" t="s">
        <v>314</v>
      </c>
      <c r="I254">
        <v>39080958</v>
      </c>
      <c r="J254">
        <v>31388928</v>
      </c>
      <c r="K254" s="3">
        <v>0.80317700000000003</v>
      </c>
      <c r="L254">
        <v>23325090</v>
      </c>
      <c r="M254" s="3">
        <v>0.59684000000000004</v>
      </c>
      <c r="N254">
        <v>15755868</v>
      </c>
      <c r="O254" s="3">
        <v>0.40316000000000002</v>
      </c>
      <c r="P254">
        <v>0</v>
      </c>
      <c r="Q254" s="3">
        <v>0</v>
      </c>
      <c r="R254">
        <v>0</v>
      </c>
      <c r="S254" s="3">
        <v>0</v>
      </c>
    </row>
    <row r="255" spans="1:19" x14ac:dyDescent="0.3">
      <c r="A255" t="s">
        <v>515</v>
      </c>
      <c r="B255" t="s">
        <v>253</v>
      </c>
      <c r="C255" t="s">
        <v>140</v>
      </c>
      <c r="D255" s="1" t="s">
        <v>475</v>
      </c>
      <c r="F255" t="s">
        <v>409</v>
      </c>
      <c r="H255" t="s">
        <v>314</v>
      </c>
      <c r="I255">
        <v>39536112</v>
      </c>
      <c r="J255">
        <v>31788593</v>
      </c>
      <c r="K255" s="3">
        <v>0.80403899999999995</v>
      </c>
      <c r="L255">
        <v>23585261</v>
      </c>
      <c r="M255" s="3">
        <v>0.59655000000000002</v>
      </c>
      <c r="N255">
        <v>15950851</v>
      </c>
      <c r="O255" s="3">
        <v>0.40344999999999998</v>
      </c>
      <c r="P255">
        <v>0</v>
      </c>
      <c r="Q255" s="3">
        <v>0</v>
      </c>
      <c r="R255">
        <v>0</v>
      </c>
      <c r="S255" s="3">
        <v>0</v>
      </c>
    </row>
    <row r="256" spans="1:19" x14ac:dyDescent="0.3">
      <c r="A256" t="s">
        <v>515</v>
      </c>
      <c r="B256" t="s">
        <v>253</v>
      </c>
      <c r="C256" t="s">
        <v>140</v>
      </c>
      <c r="D256" s="1" t="s">
        <v>475</v>
      </c>
      <c r="F256" t="s">
        <v>428</v>
      </c>
      <c r="H256" t="s">
        <v>314</v>
      </c>
      <c r="I256">
        <v>37542895</v>
      </c>
      <c r="J256">
        <v>30343462</v>
      </c>
      <c r="K256" s="3">
        <v>0.80823400000000001</v>
      </c>
      <c r="L256">
        <v>22323726</v>
      </c>
      <c r="M256" s="3">
        <v>0.59461900000000001</v>
      </c>
      <c r="N256">
        <v>15219169</v>
      </c>
      <c r="O256" s="3">
        <v>0.40538099999999999</v>
      </c>
      <c r="P256">
        <v>0</v>
      </c>
      <c r="Q256" s="3">
        <v>0</v>
      </c>
      <c r="R256">
        <v>0</v>
      </c>
      <c r="S256" s="3">
        <v>0</v>
      </c>
    </row>
    <row r="257" spans="1:19" x14ac:dyDescent="0.3">
      <c r="A257" t="s">
        <v>515</v>
      </c>
      <c r="B257" t="s">
        <v>253</v>
      </c>
      <c r="C257" t="s">
        <v>140</v>
      </c>
      <c r="D257" s="1" t="s">
        <v>475</v>
      </c>
      <c r="F257" t="s">
        <v>414</v>
      </c>
      <c r="H257" t="s">
        <v>314</v>
      </c>
      <c r="I257">
        <v>39743586</v>
      </c>
      <c r="J257">
        <v>32266370</v>
      </c>
      <c r="K257" s="3">
        <v>0.81186400000000003</v>
      </c>
      <c r="L257">
        <v>23587999</v>
      </c>
      <c r="M257" s="3">
        <v>0.59350499999999995</v>
      </c>
      <c r="N257">
        <v>16155587</v>
      </c>
      <c r="O257" s="3">
        <v>0.406495</v>
      </c>
      <c r="P257">
        <v>0</v>
      </c>
      <c r="Q257" s="3">
        <v>0</v>
      </c>
      <c r="R257">
        <v>0</v>
      </c>
      <c r="S257" s="3">
        <v>0</v>
      </c>
    </row>
    <row r="258" spans="1:19" x14ac:dyDescent="0.3">
      <c r="A258" t="s">
        <v>515</v>
      </c>
      <c r="B258" t="s">
        <v>253</v>
      </c>
      <c r="C258" t="s">
        <v>140</v>
      </c>
      <c r="D258" s="1" t="s">
        <v>475</v>
      </c>
      <c r="F258" t="s">
        <v>425</v>
      </c>
      <c r="H258" t="s">
        <v>314</v>
      </c>
      <c r="I258">
        <v>42874995</v>
      </c>
      <c r="J258">
        <v>34909584</v>
      </c>
      <c r="K258" s="3">
        <v>0.814218</v>
      </c>
      <c r="L258">
        <v>25360160</v>
      </c>
      <c r="M258" s="3">
        <v>0.59149099999999999</v>
      </c>
      <c r="N258">
        <v>17514835</v>
      </c>
      <c r="O258" s="3">
        <v>0.40850900000000001</v>
      </c>
      <c r="P258">
        <v>0</v>
      </c>
      <c r="Q258" s="3">
        <v>0</v>
      </c>
      <c r="R258">
        <v>0</v>
      </c>
      <c r="S258" s="3">
        <v>0</v>
      </c>
    </row>
    <row r="259" spans="1:19" x14ac:dyDescent="0.3">
      <c r="A259" t="s">
        <v>515</v>
      </c>
      <c r="B259" t="s">
        <v>253</v>
      </c>
      <c r="C259" t="s">
        <v>140</v>
      </c>
      <c r="D259" s="1" t="s">
        <v>475</v>
      </c>
      <c r="F259" t="s">
        <v>429</v>
      </c>
      <c r="H259" t="s">
        <v>314</v>
      </c>
      <c r="I259">
        <v>41455263</v>
      </c>
      <c r="J259">
        <v>33881319</v>
      </c>
      <c r="K259" s="3">
        <v>0.81729799999999997</v>
      </c>
      <c r="L259">
        <v>24477349</v>
      </c>
      <c r="M259" s="3">
        <v>0.59045199999999998</v>
      </c>
      <c r="N259">
        <v>16977914</v>
      </c>
      <c r="O259" s="3">
        <v>0.40954800000000002</v>
      </c>
      <c r="P259">
        <v>0</v>
      </c>
      <c r="Q259" s="3">
        <v>0</v>
      </c>
      <c r="R259">
        <v>0</v>
      </c>
      <c r="S259" s="3">
        <v>0</v>
      </c>
    </row>
    <row r="260" spans="1:19" x14ac:dyDescent="0.3">
      <c r="A260" t="s">
        <v>515</v>
      </c>
      <c r="B260" t="s">
        <v>253</v>
      </c>
      <c r="C260" t="s">
        <v>140</v>
      </c>
      <c r="D260" s="1" t="s">
        <v>475</v>
      </c>
      <c r="F260" t="s">
        <v>426</v>
      </c>
      <c r="H260" t="s">
        <v>314</v>
      </c>
      <c r="I260">
        <v>41369621</v>
      </c>
      <c r="J260">
        <v>33914047</v>
      </c>
      <c r="K260" s="3">
        <v>0.81978099999999998</v>
      </c>
      <c r="L260">
        <v>24359214</v>
      </c>
      <c r="M260" s="3">
        <v>0.58881899999999998</v>
      </c>
      <c r="N260">
        <v>17010407</v>
      </c>
      <c r="O260" s="3">
        <v>0.41118100000000002</v>
      </c>
      <c r="P260">
        <v>0</v>
      </c>
      <c r="Q260" s="3">
        <v>0</v>
      </c>
      <c r="R260">
        <v>0</v>
      </c>
      <c r="S260" s="3">
        <v>0</v>
      </c>
    </row>
    <row r="261" spans="1:19" x14ac:dyDescent="0.3">
      <c r="A261" t="s">
        <v>515</v>
      </c>
      <c r="B261" t="s">
        <v>253</v>
      </c>
      <c r="C261" t="s">
        <v>140</v>
      </c>
      <c r="D261" s="1" t="s">
        <v>475</v>
      </c>
      <c r="F261" t="s">
        <v>412</v>
      </c>
      <c r="H261" t="s">
        <v>314</v>
      </c>
      <c r="I261">
        <v>40911755</v>
      </c>
      <c r="J261">
        <v>33751860</v>
      </c>
      <c r="K261" s="3">
        <v>0.82499199999999995</v>
      </c>
      <c r="L261">
        <v>23972687</v>
      </c>
      <c r="M261" s="3">
        <v>0.58596099999999995</v>
      </c>
      <c r="N261">
        <v>16939068</v>
      </c>
      <c r="O261" s="3">
        <v>0.41403899999999999</v>
      </c>
      <c r="P261">
        <v>0</v>
      </c>
      <c r="Q261" s="3">
        <v>0</v>
      </c>
      <c r="R261">
        <v>0</v>
      </c>
      <c r="S261" s="3">
        <v>0</v>
      </c>
    </row>
    <row r="262" spans="1:19" x14ac:dyDescent="0.3">
      <c r="A262" t="s">
        <v>515</v>
      </c>
      <c r="B262" t="s">
        <v>253</v>
      </c>
      <c r="C262" t="s">
        <v>140</v>
      </c>
      <c r="D262" s="1" t="s">
        <v>475</v>
      </c>
      <c r="F262" t="s">
        <v>427</v>
      </c>
      <c r="H262" t="s">
        <v>314</v>
      </c>
      <c r="I262">
        <v>39878011</v>
      </c>
      <c r="J262">
        <v>32987173</v>
      </c>
      <c r="K262" s="3">
        <v>0.82720199999999999</v>
      </c>
      <c r="L262">
        <v>23331627</v>
      </c>
      <c r="M262" s="3">
        <v>0.58507500000000001</v>
      </c>
      <c r="N262">
        <v>16546384</v>
      </c>
      <c r="O262" s="3">
        <v>0.41492499999999999</v>
      </c>
      <c r="P262">
        <v>0</v>
      </c>
      <c r="Q262" s="3">
        <v>0</v>
      </c>
      <c r="R262">
        <v>0</v>
      </c>
      <c r="S262" s="3">
        <v>0</v>
      </c>
    </row>
    <row r="263" spans="1:19" x14ac:dyDescent="0.3">
      <c r="A263" t="s">
        <v>515</v>
      </c>
      <c r="B263" t="s">
        <v>253</v>
      </c>
      <c r="C263" t="s">
        <v>140</v>
      </c>
      <c r="D263" s="1" t="s">
        <v>475</v>
      </c>
      <c r="F263" t="s">
        <v>410</v>
      </c>
      <c r="H263" t="s">
        <v>314</v>
      </c>
      <c r="I263">
        <v>39756026</v>
      </c>
      <c r="J263">
        <v>33055433</v>
      </c>
      <c r="K263" s="3">
        <v>0.831457</v>
      </c>
      <c r="L263">
        <v>23166920</v>
      </c>
      <c r="M263" s="3">
        <v>0.58272699999999999</v>
      </c>
      <c r="N263">
        <v>16589106</v>
      </c>
      <c r="O263" s="3">
        <v>0.41727300000000001</v>
      </c>
      <c r="P263">
        <v>0</v>
      </c>
      <c r="Q263" s="3">
        <v>0</v>
      </c>
      <c r="R263">
        <v>0</v>
      </c>
      <c r="S263" s="3">
        <v>0</v>
      </c>
    </row>
    <row r="264" spans="1:19" x14ac:dyDescent="0.3">
      <c r="A264" t="s">
        <v>515</v>
      </c>
      <c r="B264" t="s">
        <v>253</v>
      </c>
      <c r="C264" t="s">
        <v>140</v>
      </c>
      <c r="D264" s="1" t="s">
        <v>475</v>
      </c>
      <c r="F264" t="s">
        <v>431</v>
      </c>
      <c r="H264" t="s">
        <v>314</v>
      </c>
      <c r="I264">
        <v>40435691</v>
      </c>
      <c r="J264">
        <v>33876190</v>
      </c>
      <c r="K264" s="3">
        <v>0.83777900000000005</v>
      </c>
      <c r="L264">
        <v>23474691</v>
      </c>
      <c r="M264" s="3">
        <v>0.58054399999999995</v>
      </c>
      <c r="N264">
        <v>16961000</v>
      </c>
      <c r="O264" s="3">
        <v>0.419456</v>
      </c>
      <c r="S264" s="3"/>
    </row>
    <row r="265" spans="1:19" x14ac:dyDescent="0.3">
      <c r="A265" t="s">
        <v>515</v>
      </c>
      <c r="B265" t="s">
        <v>253</v>
      </c>
      <c r="C265" t="s">
        <v>140</v>
      </c>
      <c r="D265" s="1" t="s">
        <v>475</v>
      </c>
      <c r="F265" t="s">
        <v>364</v>
      </c>
      <c r="H265" t="s">
        <v>314</v>
      </c>
      <c r="S265" s="3"/>
    </row>
    <row r="266" spans="1:19" x14ac:dyDescent="0.3">
      <c r="A266" t="s">
        <v>515</v>
      </c>
      <c r="B266" t="s">
        <v>253</v>
      </c>
      <c r="C266" t="s">
        <v>140</v>
      </c>
      <c r="D266" s="1" t="s">
        <v>475</v>
      </c>
      <c r="F266" t="s">
        <v>365</v>
      </c>
      <c r="H266" t="s">
        <v>314</v>
      </c>
      <c r="S266" s="3"/>
    </row>
    <row r="267" spans="1:19" x14ac:dyDescent="0.3">
      <c r="A267" t="s">
        <v>515</v>
      </c>
      <c r="B267" t="s">
        <v>253</v>
      </c>
      <c r="C267" t="s">
        <v>140</v>
      </c>
      <c r="D267" s="1" t="s">
        <v>475</v>
      </c>
      <c r="F267" t="s">
        <v>369</v>
      </c>
      <c r="H267" t="s">
        <v>314</v>
      </c>
      <c r="S267" s="3"/>
    </row>
    <row r="268" spans="1:19" x14ac:dyDescent="0.3">
      <c r="A268" t="s">
        <v>515</v>
      </c>
      <c r="B268" t="s">
        <v>253</v>
      </c>
      <c r="C268" t="s">
        <v>140</v>
      </c>
      <c r="D268" s="1" t="s">
        <v>475</v>
      </c>
      <c r="F268" t="s">
        <v>371</v>
      </c>
      <c r="H268" t="s">
        <v>314</v>
      </c>
      <c r="S268" s="3"/>
    </row>
    <row r="269" spans="1:19" x14ac:dyDescent="0.3">
      <c r="A269" t="s">
        <v>515</v>
      </c>
      <c r="B269" t="s">
        <v>253</v>
      </c>
      <c r="C269" t="s">
        <v>140</v>
      </c>
      <c r="D269" s="1" t="s">
        <v>475</v>
      </c>
      <c r="F269" t="s">
        <v>376</v>
      </c>
      <c r="H269" t="s">
        <v>314</v>
      </c>
      <c r="K269" s="3"/>
      <c r="Q269" s="3">
        <v>2.41004E-3</v>
      </c>
      <c r="R269">
        <v>0</v>
      </c>
      <c r="S269" s="3">
        <v>0</v>
      </c>
    </row>
    <row r="270" spans="1:19" x14ac:dyDescent="0.3">
      <c r="A270" t="s">
        <v>515</v>
      </c>
      <c r="B270" t="s">
        <v>253</v>
      </c>
      <c r="C270" t="s">
        <v>140</v>
      </c>
      <c r="D270" s="1" t="s">
        <v>475</v>
      </c>
      <c r="F270" t="s">
        <v>379</v>
      </c>
      <c r="H270" t="s">
        <v>314</v>
      </c>
      <c r="S270" s="3"/>
    </row>
    <row r="271" spans="1:19" x14ac:dyDescent="0.3">
      <c r="A271" t="s">
        <v>515</v>
      </c>
      <c r="B271" t="s">
        <v>253</v>
      </c>
      <c r="C271" t="s">
        <v>140</v>
      </c>
      <c r="D271" s="1" t="s">
        <v>475</v>
      </c>
      <c r="F271" t="s">
        <v>380</v>
      </c>
      <c r="H271" t="s">
        <v>314</v>
      </c>
      <c r="K271" s="3"/>
      <c r="Q271" s="3"/>
      <c r="S271" s="3"/>
    </row>
    <row r="272" spans="1:19" x14ac:dyDescent="0.3">
      <c r="A272" t="s">
        <v>515</v>
      </c>
      <c r="B272" t="s">
        <v>253</v>
      </c>
      <c r="C272" t="s">
        <v>140</v>
      </c>
      <c r="D272" s="1" t="s">
        <v>475</v>
      </c>
      <c r="F272" t="s">
        <v>383</v>
      </c>
      <c r="H272" t="s">
        <v>314</v>
      </c>
      <c r="S272" s="3"/>
    </row>
    <row r="273" spans="1:19" x14ac:dyDescent="0.3">
      <c r="A273" t="s">
        <v>515</v>
      </c>
      <c r="B273" t="s">
        <v>253</v>
      </c>
      <c r="C273" t="s">
        <v>140</v>
      </c>
      <c r="D273" s="1" t="s">
        <v>475</v>
      </c>
      <c r="F273" t="s">
        <v>384</v>
      </c>
      <c r="H273" t="s">
        <v>314</v>
      </c>
      <c r="S273" s="3"/>
    </row>
    <row r="274" spans="1:19" x14ac:dyDescent="0.3">
      <c r="A274" t="s">
        <v>515</v>
      </c>
      <c r="B274" t="s">
        <v>253</v>
      </c>
      <c r="C274" t="s">
        <v>140</v>
      </c>
      <c r="D274" s="1" t="s">
        <v>475</v>
      </c>
      <c r="F274" t="s">
        <v>390</v>
      </c>
      <c r="H274" t="s">
        <v>314</v>
      </c>
      <c r="S274" s="3"/>
    </row>
    <row r="275" spans="1:19" x14ac:dyDescent="0.3">
      <c r="A275" t="s">
        <v>515</v>
      </c>
      <c r="B275" t="s">
        <v>253</v>
      </c>
      <c r="C275" t="s">
        <v>140</v>
      </c>
      <c r="D275" s="1" t="s">
        <v>475</v>
      </c>
      <c r="F275" t="s">
        <v>394</v>
      </c>
      <c r="H275" t="s">
        <v>314</v>
      </c>
      <c r="S275" s="3"/>
    </row>
    <row r="276" spans="1:19" x14ac:dyDescent="0.3">
      <c r="A276" t="s">
        <v>515</v>
      </c>
      <c r="B276" t="s">
        <v>253</v>
      </c>
      <c r="C276" t="s">
        <v>140</v>
      </c>
      <c r="D276" s="1" t="s">
        <v>475</v>
      </c>
      <c r="F276" t="s">
        <v>395</v>
      </c>
      <c r="H276" t="s">
        <v>314</v>
      </c>
      <c r="S276" s="3"/>
    </row>
    <row r="277" spans="1:19" x14ac:dyDescent="0.3">
      <c r="A277" t="s">
        <v>515</v>
      </c>
      <c r="B277" t="s">
        <v>253</v>
      </c>
      <c r="C277" t="s">
        <v>140</v>
      </c>
      <c r="D277" s="1" t="s">
        <v>475</v>
      </c>
      <c r="F277" t="s">
        <v>398</v>
      </c>
      <c r="H277" t="s">
        <v>314</v>
      </c>
      <c r="S277" s="3"/>
    </row>
    <row r="278" spans="1:19" x14ac:dyDescent="0.3">
      <c r="A278" t="s">
        <v>515</v>
      </c>
      <c r="B278" t="s">
        <v>253</v>
      </c>
      <c r="C278" t="s">
        <v>140</v>
      </c>
      <c r="D278" s="1" t="s">
        <v>475</v>
      </c>
      <c r="F278" t="s">
        <v>400</v>
      </c>
      <c r="H278" t="s">
        <v>314</v>
      </c>
      <c r="S278" s="3"/>
    </row>
    <row r="279" spans="1:19" x14ac:dyDescent="0.3">
      <c r="A279" t="s">
        <v>515</v>
      </c>
      <c r="B279" t="s">
        <v>253</v>
      </c>
      <c r="C279" t="s">
        <v>140</v>
      </c>
      <c r="D279" s="1" t="s">
        <v>475</v>
      </c>
      <c r="F279" t="s">
        <v>401</v>
      </c>
      <c r="H279" t="s">
        <v>314</v>
      </c>
      <c r="S279" s="3"/>
    </row>
    <row r="280" spans="1:19" x14ac:dyDescent="0.3">
      <c r="A280" t="s">
        <v>515</v>
      </c>
      <c r="B280" t="s">
        <v>253</v>
      </c>
      <c r="C280" t="s">
        <v>140</v>
      </c>
      <c r="D280" s="1" t="s">
        <v>475</v>
      </c>
      <c r="F280" t="s">
        <v>402</v>
      </c>
      <c r="H280" t="s">
        <v>314</v>
      </c>
      <c r="S280" s="3"/>
    </row>
    <row r="281" spans="1:19" x14ac:dyDescent="0.3">
      <c r="A281" t="s">
        <v>515</v>
      </c>
      <c r="B281" t="s">
        <v>253</v>
      </c>
      <c r="C281" t="s">
        <v>140</v>
      </c>
      <c r="D281" s="1" t="s">
        <v>475</v>
      </c>
      <c r="F281" t="s">
        <v>403</v>
      </c>
      <c r="H281" t="s">
        <v>314</v>
      </c>
      <c r="S281" s="3"/>
    </row>
    <row r="282" spans="1:19" x14ac:dyDescent="0.3">
      <c r="A282" t="s">
        <v>515</v>
      </c>
      <c r="B282" t="s">
        <v>253</v>
      </c>
      <c r="C282" t="s">
        <v>140</v>
      </c>
      <c r="D282" s="1" t="s">
        <v>475</v>
      </c>
      <c r="F282" t="s">
        <v>404</v>
      </c>
      <c r="H282" t="s">
        <v>314</v>
      </c>
      <c r="S282" s="3"/>
    </row>
    <row r="283" spans="1:19" x14ac:dyDescent="0.3">
      <c r="A283" t="s">
        <v>515</v>
      </c>
      <c r="B283" t="s">
        <v>253</v>
      </c>
      <c r="C283" t="s">
        <v>140</v>
      </c>
      <c r="D283" s="1" t="s">
        <v>475</v>
      </c>
      <c r="F283" t="s">
        <v>435</v>
      </c>
      <c r="H283" t="s">
        <v>314</v>
      </c>
      <c r="S283" s="3"/>
    </row>
    <row r="284" spans="1:19" x14ac:dyDescent="0.3">
      <c r="A284" t="s">
        <v>515</v>
      </c>
      <c r="B284" t="s">
        <v>253</v>
      </c>
      <c r="C284" t="s">
        <v>140</v>
      </c>
      <c r="D284" s="1" t="s">
        <v>475</v>
      </c>
      <c r="F284" t="s">
        <v>436</v>
      </c>
      <c r="H284" t="s">
        <v>314</v>
      </c>
      <c r="S284" s="3"/>
    </row>
    <row r="285" spans="1:19" x14ac:dyDescent="0.3">
      <c r="A285" t="s">
        <v>515</v>
      </c>
      <c r="B285" t="s">
        <v>253</v>
      </c>
      <c r="C285" t="s">
        <v>140</v>
      </c>
      <c r="D285" s="1" t="s">
        <v>475</v>
      </c>
      <c r="F285" t="s">
        <v>437</v>
      </c>
      <c r="H285" t="s">
        <v>314</v>
      </c>
      <c r="S285" s="3"/>
    </row>
    <row r="286" spans="1:19" x14ac:dyDescent="0.3">
      <c r="A286" t="s">
        <v>515</v>
      </c>
      <c r="B286" t="s">
        <v>253</v>
      </c>
      <c r="C286" t="s">
        <v>140</v>
      </c>
      <c r="D286" s="1" t="s">
        <v>475</v>
      </c>
      <c r="F286" t="s">
        <v>438</v>
      </c>
      <c r="H286" t="s">
        <v>314</v>
      </c>
      <c r="S286" s="3"/>
    </row>
    <row r="287" spans="1:19" x14ac:dyDescent="0.3">
      <c r="A287" t="s">
        <v>515</v>
      </c>
      <c r="B287" t="s">
        <v>253</v>
      </c>
      <c r="C287" t="s">
        <v>140</v>
      </c>
      <c r="D287" s="1" t="s">
        <v>475</v>
      </c>
      <c r="F287" t="s">
        <v>473</v>
      </c>
      <c r="H287" t="s">
        <v>314</v>
      </c>
    </row>
    <row r="288" spans="1:19" x14ac:dyDescent="0.3">
      <c r="A288" t="s">
        <v>515</v>
      </c>
      <c r="B288" t="s">
        <v>253</v>
      </c>
      <c r="C288" t="s">
        <v>140</v>
      </c>
      <c r="D288" s="1" t="s">
        <v>475</v>
      </c>
      <c r="F288" t="s">
        <v>474</v>
      </c>
      <c r="H288" t="s">
        <v>314</v>
      </c>
    </row>
    <row r="289" spans="1:11" x14ac:dyDescent="0.3">
      <c r="A289" t="s">
        <v>515</v>
      </c>
      <c r="B289" t="s">
        <v>142</v>
      </c>
      <c r="C289" t="s">
        <v>140</v>
      </c>
      <c r="D289" s="1" t="s">
        <v>475</v>
      </c>
      <c r="F289" t="s">
        <v>383</v>
      </c>
      <c r="H289" t="s">
        <v>314</v>
      </c>
      <c r="I289">
        <v>32097358</v>
      </c>
      <c r="J289">
        <v>1512984</v>
      </c>
      <c r="K289" s="3">
        <v>4.7E-2</v>
      </c>
    </row>
    <row r="290" spans="1:11" x14ac:dyDescent="0.3">
      <c r="A290" t="s">
        <v>515</v>
      </c>
      <c r="B290" t="s">
        <v>142</v>
      </c>
      <c r="C290" t="s">
        <v>140</v>
      </c>
      <c r="D290" s="1" t="s">
        <v>475</v>
      </c>
      <c r="F290" t="s">
        <v>385</v>
      </c>
      <c r="H290" t="s">
        <v>314</v>
      </c>
      <c r="I290">
        <v>31654328</v>
      </c>
      <c r="J290">
        <v>1558248</v>
      </c>
      <c r="K290" s="3">
        <v>4.9000000000000002E-2</v>
      </c>
    </row>
    <row r="291" spans="1:11" x14ac:dyDescent="0.3">
      <c r="A291" t="s">
        <v>515</v>
      </c>
      <c r="B291" t="s">
        <v>142</v>
      </c>
      <c r="C291" t="s">
        <v>140</v>
      </c>
      <c r="D291" s="1" t="s">
        <v>475</v>
      </c>
      <c r="F291" t="s">
        <v>386</v>
      </c>
      <c r="H291" t="s">
        <v>314</v>
      </c>
      <c r="I291">
        <v>30273808</v>
      </c>
      <c r="J291">
        <v>1577162</v>
      </c>
      <c r="K291" s="3">
        <v>5.1999999999999998E-2</v>
      </c>
    </row>
    <row r="292" spans="1:11" x14ac:dyDescent="0.3">
      <c r="A292" t="s">
        <v>515</v>
      </c>
      <c r="B292" t="s">
        <v>142</v>
      </c>
      <c r="C292" t="s">
        <v>140</v>
      </c>
      <c r="D292" s="1" t="s">
        <v>475</v>
      </c>
      <c r="F292" t="s">
        <v>384</v>
      </c>
      <c r="H292" t="s">
        <v>314</v>
      </c>
      <c r="I292">
        <v>33909850</v>
      </c>
      <c r="J292">
        <v>1904328</v>
      </c>
      <c r="K292" s="3">
        <v>5.6000000000000001E-2</v>
      </c>
    </row>
    <row r="293" spans="1:11" x14ac:dyDescent="0.3">
      <c r="A293" t="s">
        <v>515</v>
      </c>
      <c r="B293" t="s">
        <v>142</v>
      </c>
      <c r="C293" t="s">
        <v>140</v>
      </c>
      <c r="D293" s="1" t="s">
        <v>475</v>
      </c>
      <c r="F293" t="s">
        <v>407</v>
      </c>
      <c r="H293" t="s">
        <v>314</v>
      </c>
      <c r="I293">
        <v>36532902</v>
      </c>
      <c r="J293">
        <v>3924612</v>
      </c>
      <c r="K293" s="3">
        <v>0.107</v>
      </c>
    </row>
    <row r="294" spans="1:11" x14ac:dyDescent="0.3">
      <c r="A294" t="s">
        <v>515</v>
      </c>
      <c r="B294" t="s">
        <v>142</v>
      </c>
      <c r="C294" t="s">
        <v>140</v>
      </c>
      <c r="D294" s="1" t="s">
        <v>475</v>
      </c>
      <c r="F294" t="s">
        <v>408</v>
      </c>
      <c r="H294" t="s">
        <v>314</v>
      </c>
      <c r="I294">
        <v>36924206</v>
      </c>
      <c r="J294">
        <v>3994572</v>
      </c>
      <c r="K294" s="3">
        <v>0.108</v>
      </c>
    </row>
    <row r="295" spans="1:11" x14ac:dyDescent="0.3">
      <c r="A295" t="s">
        <v>515</v>
      </c>
      <c r="B295" t="s">
        <v>142</v>
      </c>
      <c r="C295" t="s">
        <v>140</v>
      </c>
      <c r="D295" s="1" t="s">
        <v>475</v>
      </c>
      <c r="F295" t="s">
        <v>390</v>
      </c>
      <c r="H295" t="s">
        <v>314</v>
      </c>
      <c r="I295">
        <v>34146136</v>
      </c>
      <c r="J295">
        <v>3904126</v>
      </c>
      <c r="K295" s="3">
        <v>0.114</v>
      </c>
    </row>
    <row r="296" spans="1:11" x14ac:dyDescent="0.3">
      <c r="A296" t="s">
        <v>515</v>
      </c>
      <c r="B296" t="s">
        <v>142</v>
      </c>
      <c r="C296" t="s">
        <v>140</v>
      </c>
      <c r="D296" s="1" t="s">
        <v>475</v>
      </c>
      <c r="F296" t="s">
        <v>432</v>
      </c>
      <c r="H296" t="s">
        <v>314</v>
      </c>
      <c r="I296">
        <v>48915800</v>
      </c>
      <c r="J296">
        <v>5636971</v>
      </c>
      <c r="K296" s="3">
        <v>0.115</v>
      </c>
    </row>
    <row r="297" spans="1:11" x14ac:dyDescent="0.3">
      <c r="A297" t="s">
        <v>515</v>
      </c>
      <c r="B297" t="s">
        <v>142</v>
      </c>
      <c r="C297" t="s">
        <v>140</v>
      </c>
      <c r="D297" s="1" t="s">
        <v>475</v>
      </c>
      <c r="F297" t="s">
        <v>392</v>
      </c>
      <c r="H297" t="s">
        <v>314</v>
      </c>
      <c r="I297">
        <v>33586987</v>
      </c>
      <c r="J297">
        <v>3930305</v>
      </c>
      <c r="K297" s="3">
        <v>0.11700000000000001</v>
      </c>
    </row>
    <row r="298" spans="1:11" x14ac:dyDescent="0.3">
      <c r="A298" t="s">
        <v>515</v>
      </c>
      <c r="B298" t="s">
        <v>142</v>
      </c>
      <c r="C298" t="s">
        <v>140</v>
      </c>
      <c r="D298" s="1" t="s">
        <v>475</v>
      </c>
      <c r="F298" t="s">
        <v>395</v>
      </c>
      <c r="H298" t="s">
        <v>314</v>
      </c>
      <c r="I298">
        <v>46161134</v>
      </c>
      <c r="J298">
        <v>5461196</v>
      </c>
      <c r="K298" s="3">
        <v>0.11799999999999999</v>
      </c>
    </row>
    <row r="299" spans="1:11" x14ac:dyDescent="0.3">
      <c r="A299" t="s">
        <v>515</v>
      </c>
      <c r="B299" t="s">
        <v>142</v>
      </c>
      <c r="C299" t="s">
        <v>140</v>
      </c>
      <c r="D299" s="1" t="s">
        <v>475</v>
      </c>
      <c r="F299" t="s">
        <v>393</v>
      </c>
      <c r="H299" t="s">
        <v>314</v>
      </c>
      <c r="I299">
        <v>39519849</v>
      </c>
      <c r="J299">
        <v>4709044</v>
      </c>
      <c r="K299" s="3">
        <v>0.11899999999999999</v>
      </c>
    </row>
    <row r="300" spans="1:11" x14ac:dyDescent="0.3">
      <c r="A300" t="s">
        <v>515</v>
      </c>
      <c r="B300" t="s">
        <v>142</v>
      </c>
      <c r="C300" t="s">
        <v>140</v>
      </c>
      <c r="D300" s="1" t="s">
        <v>475</v>
      </c>
      <c r="F300" t="s">
        <v>404</v>
      </c>
      <c r="H300" t="s">
        <v>314</v>
      </c>
      <c r="I300">
        <v>37417612</v>
      </c>
      <c r="J300">
        <v>4495322</v>
      </c>
      <c r="K300" s="3">
        <v>0.12</v>
      </c>
    </row>
    <row r="301" spans="1:11" x14ac:dyDescent="0.3">
      <c r="A301" t="s">
        <v>515</v>
      </c>
      <c r="B301" t="s">
        <v>142</v>
      </c>
      <c r="C301" t="s">
        <v>140</v>
      </c>
      <c r="D301" s="1" t="s">
        <v>475</v>
      </c>
      <c r="F301" t="s">
        <v>409</v>
      </c>
      <c r="H301" t="s">
        <v>314</v>
      </c>
      <c r="I301">
        <v>36921055</v>
      </c>
      <c r="J301">
        <v>4432322</v>
      </c>
      <c r="K301" s="3">
        <v>0.12</v>
      </c>
    </row>
    <row r="302" spans="1:11" x14ac:dyDescent="0.3">
      <c r="A302" t="s">
        <v>515</v>
      </c>
      <c r="B302" t="s">
        <v>142</v>
      </c>
      <c r="C302" t="s">
        <v>140</v>
      </c>
      <c r="D302" s="1" t="s">
        <v>475</v>
      </c>
      <c r="F302" t="s">
        <v>397</v>
      </c>
      <c r="H302" t="s">
        <v>314</v>
      </c>
      <c r="I302">
        <v>40971123</v>
      </c>
      <c r="J302">
        <v>4963569</v>
      </c>
      <c r="K302" s="3">
        <v>0.121</v>
      </c>
    </row>
    <row r="303" spans="1:11" x14ac:dyDescent="0.3">
      <c r="A303" t="s">
        <v>515</v>
      </c>
      <c r="B303" t="s">
        <v>142</v>
      </c>
      <c r="C303" t="s">
        <v>140</v>
      </c>
      <c r="D303" s="1" t="s">
        <v>475</v>
      </c>
      <c r="F303" t="s">
        <v>403</v>
      </c>
      <c r="H303" t="s">
        <v>314</v>
      </c>
      <c r="I303">
        <v>34971788</v>
      </c>
      <c r="J303">
        <v>4257289</v>
      </c>
      <c r="K303" s="3">
        <v>0.122</v>
      </c>
    </row>
    <row r="304" spans="1:11" x14ac:dyDescent="0.3">
      <c r="A304" t="s">
        <v>515</v>
      </c>
      <c r="B304" t="s">
        <v>142</v>
      </c>
      <c r="C304" t="s">
        <v>140</v>
      </c>
      <c r="D304" s="1" t="s">
        <v>475</v>
      </c>
      <c r="F304" t="s">
        <v>399</v>
      </c>
      <c r="H304" t="s">
        <v>314</v>
      </c>
      <c r="I304">
        <v>37164158</v>
      </c>
      <c r="J304">
        <v>4576902</v>
      </c>
      <c r="K304" s="3">
        <v>0.123</v>
      </c>
    </row>
    <row r="305" spans="1:11" x14ac:dyDescent="0.3">
      <c r="A305" t="s">
        <v>515</v>
      </c>
      <c r="B305" t="s">
        <v>142</v>
      </c>
      <c r="C305" t="s">
        <v>140</v>
      </c>
      <c r="D305" s="1" t="s">
        <v>475</v>
      </c>
      <c r="F305" t="s">
        <v>402</v>
      </c>
      <c r="H305" t="s">
        <v>314</v>
      </c>
      <c r="I305">
        <v>35221196</v>
      </c>
      <c r="J305">
        <v>4340156</v>
      </c>
      <c r="K305" s="3">
        <v>0.123</v>
      </c>
    </row>
    <row r="306" spans="1:11" x14ac:dyDescent="0.3">
      <c r="A306" t="s">
        <v>515</v>
      </c>
      <c r="B306" t="s">
        <v>142</v>
      </c>
      <c r="C306" t="s">
        <v>140</v>
      </c>
      <c r="D306" s="1" t="s">
        <v>475</v>
      </c>
      <c r="F306" t="s">
        <v>406</v>
      </c>
      <c r="H306" t="s">
        <v>314</v>
      </c>
      <c r="I306">
        <v>35096795</v>
      </c>
      <c r="J306">
        <v>4308591</v>
      </c>
      <c r="K306" s="3">
        <v>0.123</v>
      </c>
    </row>
    <row r="307" spans="1:11" x14ac:dyDescent="0.3">
      <c r="A307" t="s">
        <v>515</v>
      </c>
      <c r="B307" t="s">
        <v>142</v>
      </c>
      <c r="C307" t="s">
        <v>140</v>
      </c>
      <c r="D307" s="1" t="s">
        <v>475</v>
      </c>
      <c r="F307" t="s">
        <v>430</v>
      </c>
      <c r="H307" t="s">
        <v>314</v>
      </c>
      <c r="I307">
        <v>47864119</v>
      </c>
      <c r="J307">
        <v>5996553</v>
      </c>
      <c r="K307" s="3">
        <v>0.125</v>
      </c>
    </row>
    <row r="308" spans="1:11" x14ac:dyDescent="0.3">
      <c r="A308" t="s">
        <v>515</v>
      </c>
      <c r="B308" t="s">
        <v>142</v>
      </c>
      <c r="C308" t="s">
        <v>140</v>
      </c>
      <c r="D308" s="1" t="s">
        <v>475</v>
      </c>
      <c r="F308" t="s">
        <v>388</v>
      </c>
      <c r="H308" t="s">
        <v>314</v>
      </c>
      <c r="I308">
        <v>39142318</v>
      </c>
      <c r="J308">
        <v>4938877</v>
      </c>
      <c r="K308" s="3">
        <v>0.126</v>
      </c>
    </row>
    <row r="309" spans="1:11" x14ac:dyDescent="0.3">
      <c r="A309" t="s">
        <v>515</v>
      </c>
      <c r="B309" t="s">
        <v>142</v>
      </c>
      <c r="C309" t="s">
        <v>140</v>
      </c>
      <c r="D309" s="1" t="s">
        <v>475</v>
      </c>
      <c r="F309" t="s">
        <v>410</v>
      </c>
      <c r="H309" t="s">
        <v>314</v>
      </c>
      <c r="I309">
        <v>38591130</v>
      </c>
      <c r="J309">
        <v>4881188</v>
      </c>
      <c r="K309" s="3">
        <v>0.126</v>
      </c>
    </row>
    <row r="310" spans="1:11" x14ac:dyDescent="0.3">
      <c r="A310" t="s">
        <v>515</v>
      </c>
      <c r="B310" t="s">
        <v>142</v>
      </c>
      <c r="C310" t="s">
        <v>140</v>
      </c>
      <c r="D310" s="1" t="s">
        <v>475</v>
      </c>
      <c r="F310" t="s">
        <v>391</v>
      </c>
      <c r="H310" t="s">
        <v>314</v>
      </c>
      <c r="I310">
        <v>40823294</v>
      </c>
      <c r="J310">
        <v>5278423</v>
      </c>
      <c r="K310" s="3">
        <v>0.129</v>
      </c>
    </row>
    <row r="311" spans="1:11" x14ac:dyDescent="0.3">
      <c r="A311" t="s">
        <v>515</v>
      </c>
      <c r="B311" t="s">
        <v>142</v>
      </c>
      <c r="C311" t="s">
        <v>140</v>
      </c>
      <c r="D311" s="1" t="s">
        <v>475</v>
      </c>
      <c r="F311" t="s">
        <v>400</v>
      </c>
      <c r="H311" t="s">
        <v>314</v>
      </c>
      <c r="I311">
        <v>37740284</v>
      </c>
      <c r="J311">
        <v>4862558</v>
      </c>
      <c r="K311" s="3">
        <v>0.129</v>
      </c>
    </row>
    <row r="312" spans="1:11" x14ac:dyDescent="0.3">
      <c r="A312" t="s">
        <v>515</v>
      </c>
      <c r="B312" t="s">
        <v>142</v>
      </c>
      <c r="C312" t="s">
        <v>140</v>
      </c>
      <c r="D312" s="1" t="s">
        <v>475</v>
      </c>
      <c r="F312" t="s">
        <v>398</v>
      </c>
      <c r="H312" t="s">
        <v>314</v>
      </c>
      <c r="I312">
        <v>35990377</v>
      </c>
      <c r="J312">
        <v>4725926</v>
      </c>
      <c r="K312" s="3">
        <v>0.13100000000000001</v>
      </c>
    </row>
    <row r="313" spans="1:11" x14ac:dyDescent="0.3">
      <c r="A313" t="s">
        <v>515</v>
      </c>
      <c r="B313" t="s">
        <v>142</v>
      </c>
      <c r="C313" t="s">
        <v>140</v>
      </c>
      <c r="D313" s="1" t="s">
        <v>475</v>
      </c>
      <c r="F313" t="s">
        <v>429</v>
      </c>
      <c r="H313" t="s">
        <v>314</v>
      </c>
      <c r="I313">
        <v>40996998</v>
      </c>
      <c r="J313">
        <v>5508735</v>
      </c>
      <c r="K313" s="3">
        <v>0.13400000000000001</v>
      </c>
    </row>
    <row r="314" spans="1:11" x14ac:dyDescent="0.3">
      <c r="A314" t="s">
        <v>515</v>
      </c>
      <c r="B314" t="s">
        <v>142</v>
      </c>
      <c r="C314" t="s">
        <v>140</v>
      </c>
      <c r="D314" s="1" t="s">
        <v>475</v>
      </c>
      <c r="F314" t="s">
        <v>396</v>
      </c>
      <c r="H314" t="s">
        <v>314</v>
      </c>
      <c r="I314">
        <v>39457083</v>
      </c>
      <c r="J314">
        <v>5323501</v>
      </c>
      <c r="K314" s="3">
        <v>0.13500000000000001</v>
      </c>
    </row>
    <row r="315" spans="1:11" x14ac:dyDescent="0.3">
      <c r="A315" t="s">
        <v>515</v>
      </c>
      <c r="B315" t="s">
        <v>142</v>
      </c>
      <c r="C315" t="s">
        <v>140</v>
      </c>
      <c r="D315" s="1" t="s">
        <v>475</v>
      </c>
      <c r="F315" t="s">
        <v>387</v>
      </c>
      <c r="H315" t="s">
        <v>314</v>
      </c>
      <c r="I315">
        <v>38789598</v>
      </c>
      <c r="J315">
        <v>5681106</v>
      </c>
      <c r="K315" s="3">
        <v>0.14599999999999999</v>
      </c>
    </row>
    <row r="316" spans="1:11" x14ac:dyDescent="0.3">
      <c r="A316" t="s">
        <v>515</v>
      </c>
      <c r="B316" t="s">
        <v>142</v>
      </c>
      <c r="C316" t="s">
        <v>140</v>
      </c>
      <c r="D316" s="1" t="s">
        <v>475</v>
      </c>
      <c r="F316" t="s">
        <v>431</v>
      </c>
      <c r="H316" t="s">
        <v>314</v>
      </c>
      <c r="I316">
        <v>40076044</v>
      </c>
      <c r="J316">
        <v>5901218</v>
      </c>
      <c r="K316" s="3">
        <v>0.14699999999999999</v>
      </c>
    </row>
    <row r="317" spans="1:11" x14ac:dyDescent="0.3">
      <c r="A317" t="s">
        <v>515</v>
      </c>
      <c r="B317" t="s">
        <v>142</v>
      </c>
      <c r="C317" t="s">
        <v>140</v>
      </c>
      <c r="D317" s="1" t="s">
        <v>475</v>
      </c>
      <c r="F317" t="s">
        <v>401</v>
      </c>
      <c r="H317" t="s">
        <v>314</v>
      </c>
      <c r="I317">
        <v>36866489</v>
      </c>
      <c r="J317">
        <v>5562091</v>
      </c>
      <c r="K317" s="3">
        <v>0.151</v>
      </c>
    </row>
    <row r="318" spans="1:11" x14ac:dyDescent="0.3">
      <c r="A318" t="s">
        <v>515</v>
      </c>
      <c r="B318" t="s">
        <v>142</v>
      </c>
      <c r="C318" t="s">
        <v>140</v>
      </c>
      <c r="D318" s="1" t="s">
        <v>475</v>
      </c>
      <c r="F318" t="s">
        <v>394</v>
      </c>
      <c r="H318" t="s">
        <v>314</v>
      </c>
      <c r="I318">
        <v>36884866</v>
      </c>
      <c r="J318">
        <v>5640694</v>
      </c>
      <c r="K318" s="3">
        <v>0.153</v>
      </c>
    </row>
    <row r="319" spans="1:11" x14ac:dyDescent="0.3">
      <c r="A319" t="s">
        <v>515</v>
      </c>
      <c r="B319" t="s">
        <v>142</v>
      </c>
      <c r="C319" t="s">
        <v>140</v>
      </c>
      <c r="D319" s="1" t="s">
        <v>475</v>
      </c>
      <c r="F319" t="s">
        <v>389</v>
      </c>
      <c r="H319" t="s">
        <v>314</v>
      </c>
      <c r="I319">
        <v>40512329</v>
      </c>
      <c r="J319">
        <v>6288489</v>
      </c>
      <c r="K319" s="3">
        <v>0.155</v>
      </c>
    </row>
    <row r="320" spans="1:11" x14ac:dyDescent="0.3">
      <c r="A320" t="s">
        <v>515</v>
      </c>
      <c r="B320" t="s">
        <v>142</v>
      </c>
      <c r="C320" t="s">
        <v>140</v>
      </c>
      <c r="D320" s="1" t="s">
        <v>475</v>
      </c>
      <c r="F320" t="s">
        <v>405</v>
      </c>
      <c r="H320" t="s">
        <v>314</v>
      </c>
      <c r="I320">
        <v>35638879</v>
      </c>
      <c r="J320">
        <v>5846709</v>
      </c>
      <c r="K320" s="3">
        <v>0.16400000000000001</v>
      </c>
    </row>
    <row r="321" spans="1:11" x14ac:dyDescent="0.3">
      <c r="A321" t="s">
        <v>515</v>
      </c>
      <c r="B321" t="s">
        <v>142</v>
      </c>
      <c r="C321" t="s">
        <v>140</v>
      </c>
      <c r="D321" s="1" t="s">
        <v>475</v>
      </c>
      <c r="F321" t="s">
        <v>472</v>
      </c>
      <c r="H321" t="s">
        <v>314</v>
      </c>
      <c r="I321">
        <v>17360766</v>
      </c>
      <c r="J321">
        <v>7243578</v>
      </c>
      <c r="K321" s="3">
        <v>0.41699999999999998</v>
      </c>
    </row>
    <row r="322" spans="1:11" x14ac:dyDescent="0.3">
      <c r="A322" t="s">
        <v>515</v>
      </c>
      <c r="B322" t="s">
        <v>142</v>
      </c>
      <c r="C322" t="s">
        <v>140</v>
      </c>
      <c r="D322" s="1" t="s">
        <v>475</v>
      </c>
      <c r="F322" t="s">
        <v>465</v>
      </c>
      <c r="H322" t="s">
        <v>314</v>
      </c>
      <c r="I322">
        <v>15093612</v>
      </c>
      <c r="J322">
        <v>6496155</v>
      </c>
      <c r="K322" s="3">
        <v>0.43</v>
      </c>
    </row>
    <row r="323" spans="1:11" x14ac:dyDescent="0.3">
      <c r="A323" t="s">
        <v>515</v>
      </c>
      <c r="B323" t="s">
        <v>142</v>
      </c>
      <c r="C323" t="s">
        <v>140</v>
      </c>
      <c r="D323" s="1" t="s">
        <v>475</v>
      </c>
      <c r="F323" t="s">
        <v>467</v>
      </c>
      <c r="H323" t="s">
        <v>314</v>
      </c>
      <c r="I323">
        <v>14887551</v>
      </c>
      <c r="J323">
        <v>6528677</v>
      </c>
      <c r="K323" s="3">
        <v>0.439</v>
      </c>
    </row>
    <row r="324" spans="1:11" x14ac:dyDescent="0.3">
      <c r="A324" t="s">
        <v>515</v>
      </c>
      <c r="B324" t="s">
        <v>142</v>
      </c>
      <c r="C324" t="s">
        <v>140</v>
      </c>
      <c r="D324" s="1" t="s">
        <v>475</v>
      </c>
      <c r="F324" t="s">
        <v>451</v>
      </c>
      <c r="H324" t="s">
        <v>314</v>
      </c>
      <c r="I324">
        <v>15843789</v>
      </c>
      <c r="J324">
        <v>7226634</v>
      </c>
      <c r="K324" s="3">
        <v>0.45600000000000002</v>
      </c>
    </row>
    <row r="325" spans="1:11" x14ac:dyDescent="0.3">
      <c r="A325" t="s">
        <v>515</v>
      </c>
      <c r="B325" t="s">
        <v>142</v>
      </c>
      <c r="C325" t="s">
        <v>140</v>
      </c>
      <c r="D325" s="1" t="s">
        <v>475</v>
      </c>
      <c r="F325" t="s">
        <v>447</v>
      </c>
      <c r="H325" t="s">
        <v>314</v>
      </c>
      <c r="I325">
        <v>15785197</v>
      </c>
      <c r="J325">
        <v>7217081</v>
      </c>
      <c r="K325" s="3">
        <v>0.45700000000000002</v>
      </c>
    </row>
    <row r="326" spans="1:11" x14ac:dyDescent="0.3">
      <c r="A326" t="s">
        <v>515</v>
      </c>
      <c r="B326" t="s">
        <v>142</v>
      </c>
      <c r="C326" t="s">
        <v>140</v>
      </c>
      <c r="D326" s="1" t="s">
        <v>475</v>
      </c>
      <c r="F326" t="s">
        <v>466</v>
      </c>
      <c r="H326" t="s">
        <v>314</v>
      </c>
      <c r="I326">
        <v>17739899</v>
      </c>
      <c r="J326">
        <v>8122720</v>
      </c>
      <c r="K326" s="3">
        <v>0.45800000000000002</v>
      </c>
    </row>
    <row r="327" spans="1:11" x14ac:dyDescent="0.3">
      <c r="A327" t="s">
        <v>515</v>
      </c>
      <c r="B327" t="s">
        <v>142</v>
      </c>
      <c r="C327" t="s">
        <v>140</v>
      </c>
      <c r="D327" s="1" t="s">
        <v>475</v>
      </c>
      <c r="F327" t="s">
        <v>444</v>
      </c>
      <c r="H327" t="s">
        <v>314</v>
      </c>
      <c r="I327">
        <v>20115881</v>
      </c>
      <c r="J327">
        <v>9243170</v>
      </c>
      <c r="K327" s="3">
        <v>0.45900000000000002</v>
      </c>
    </row>
    <row r="328" spans="1:11" x14ac:dyDescent="0.3">
      <c r="A328" t="s">
        <v>515</v>
      </c>
      <c r="B328" t="s">
        <v>142</v>
      </c>
      <c r="C328" t="s">
        <v>140</v>
      </c>
      <c r="D328" s="1" t="s">
        <v>475</v>
      </c>
      <c r="F328" t="s">
        <v>443</v>
      </c>
      <c r="H328" t="s">
        <v>314</v>
      </c>
      <c r="I328">
        <v>17332207</v>
      </c>
      <c r="J328">
        <v>8127518</v>
      </c>
      <c r="K328" s="3">
        <v>0.46899999999999997</v>
      </c>
    </row>
    <row r="329" spans="1:11" x14ac:dyDescent="0.3">
      <c r="A329" t="s">
        <v>515</v>
      </c>
      <c r="B329" t="s">
        <v>142</v>
      </c>
      <c r="C329" t="s">
        <v>140</v>
      </c>
      <c r="D329" s="1" t="s">
        <v>475</v>
      </c>
      <c r="F329" t="s">
        <v>442</v>
      </c>
      <c r="H329" t="s">
        <v>314</v>
      </c>
      <c r="I329">
        <v>18043400</v>
      </c>
      <c r="J329">
        <v>8531682</v>
      </c>
      <c r="K329" s="3">
        <v>0.47299999999999998</v>
      </c>
    </row>
    <row r="330" spans="1:11" x14ac:dyDescent="0.3">
      <c r="A330" t="s">
        <v>515</v>
      </c>
      <c r="B330" t="s">
        <v>142</v>
      </c>
      <c r="C330" t="s">
        <v>140</v>
      </c>
      <c r="D330" s="1" t="s">
        <v>475</v>
      </c>
      <c r="F330" t="s">
        <v>474</v>
      </c>
      <c r="H330" t="s">
        <v>314</v>
      </c>
      <c r="I330">
        <v>23579849</v>
      </c>
      <c r="J330">
        <v>11352084</v>
      </c>
      <c r="K330" s="3">
        <v>0.48099999999999998</v>
      </c>
    </row>
    <row r="331" spans="1:11" x14ac:dyDescent="0.3">
      <c r="A331" t="s">
        <v>515</v>
      </c>
      <c r="B331" t="s">
        <v>142</v>
      </c>
      <c r="C331" t="s">
        <v>140</v>
      </c>
      <c r="D331" s="1" t="s">
        <v>475</v>
      </c>
      <c r="F331" t="s">
        <v>439</v>
      </c>
      <c r="H331" t="s">
        <v>314</v>
      </c>
      <c r="I331">
        <v>25708423</v>
      </c>
      <c r="J331">
        <v>12394250</v>
      </c>
      <c r="K331" s="3">
        <v>0.48199999999999998</v>
      </c>
    </row>
    <row r="332" spans="1:11" x14ac:dyDescent="0.3">
      <c r="A332" t="s">
        <v>515</v>
      </c>
      <c r="B332" t="s">
        <v>142</v>
      </c>
      <c r="C332" t="s">
        <v>140</v>
      </c>
      <c r="D332" s="1" t="s">
        <v>475</v>
      </c>
      <c r="F332" t="s">
        <v>448</v>
      </c>
      <c r="H332" t="s">
        <v>314</v>
      </c>
      <c r="I332">
        <v>23952609</v>
      </c>
      <c r="J332">
        <v>11561492</v>
      </c>
      <c r="K332" s="3">
        <v>0.48299999999999998</v>
      </c>
    </row>
    <row r="333" spans="1:11" x14ac:dyDescent="0.3">
      <c r="A333" t="s">
        <v>515</v>
      </c>
      <c r="B333" t="s">
        <v>142</v>
      </c>
      <c r="C333" t="s">
        <v>140</v>
      </c>
      <c r="D333" s="1" t="s">
        <v>475</v>
      </c>
      <c r="F333" t="s">
        <v>460</v>
      </c>
      <c r="H333" t="s">
        <v>314</v>
      </c>
      <c r="I333">
        <v>24144391</v>
      </c>
      <c r="J333">
        <v>11653970</v>
      </c>
      <c r="K333" s="3">
        <v>0.48299999999999998</v>
      </c>
    </row>
    <row r="334" spans="1:11" x14ac:dyDescent="0.3">
      <c r="A334" t="s">
        <v>515</v>
      </c>
      <c r="B334" t="s">
        <v>142</v>
      </c>
      <c r="C334" t="s">
        <v>140</v>
      </c>
      <c r="D334" s="1" t="s">
        <v>475</v>
      </c>
      <c r="F334" t="s">
        <v>445</v>
      </c>
      <c r="H334" t="s">
        <v>314</v>
      </c>
      <c r="I334">
        <v>14797790</v>
      </c>
      <c r="J334">
        <v>7174713</v>
      </c>
      <c r="K334" s="3">
        <v>0.48499999999999999</v>
      </c>
    </row>
    <row r="335" spans="1:11" x14ac:dyDescent="0.3">
      <c r="A335" t="s">
        <v>515</v>
      </c>
      <c r="B335" t="s">
        <v>142</v>
      </c>
      <c r="C335" t="s">
        <v>140</v>
      </c>
      <c r="D335" s="1" t="s">
        <v>475</v>
      </c>
      <c r="F335" t="s">
        <v>463</v>
      </c>
      <c r="H335" t="s">
        <v>314</v>
      </c>
      <c r="I335">
        <v>25749722</v>
      </c>
      <c r="J335">
        <v>12505236</v>
      </c>
      <c r="K335" s="3">
        <v>0.48599999999999999</v>
      </c>
    </row>
    <row r="336" spans="1:11" x14ac:dyDescent="0.3">
      <c r="A336" t="s">
        <v>515</v>
      </c>
      <c r="B336" t="s">
        <v>142</v>
      </c>
      <c r="C336" t="s">
        <v>140</v>
      </c>
      <c r="D336" s="1" t="s">
        <v>475</v>
      </c>
      <c r="F336" t="s">
        <v>471</v>
      </c>
      <c r="H336" t="s">
        <v>314</v>
      </c>
      <c r="I336">
        <v>23370074</v>
      </c>
      <c r="J336">
        <v>11369404</v>
      </c>
      <c r="K336" s="3">
        <v>0.48599999999999999</v>
      </c>
    </row>
    <row r="337" spans="1:11" x14ac:dyDescent="0.3">
      <c r="A337" t="s">
        <v>515</v>
      </c>
      <c r="B337" t="s">
        <v>142</v>
      </c>
      <c r="C337" t="s">
        <v>140</v>
      </c>
      <c r="D337" s="1" t="s">
        <v>475</v>
      </c>
      <c r="F337" t="s">
        <v>440</v>
      </c>
      <c r="H337" t="s">
        <v>314</v>
      </c>
      <c r="I337">
        <v>25472911</v>
      </c>
      <c r="J337">
        <v>12402376</v>
      </c>
      <c r="K337" s="3">
        <v>0.48699999999999999</v>
      </c>
    </row>
    <row r="338" spans="1:11" x14ac:dyDescent="0.3">
      <c r="A338" t="s">
        <v>515</v>
      </c>
      <c r="B338" t="s">
        <v>142</v>
      </c>
      <c r="C338" t="s">
        <v>140</v>
      </c>
      <c r="D338" s="1" t="s">
        <v>475</v>
      </c>
      <c r="F338" t="s">
        <v>469</v>
      </c>
      <c r="H338" t="s">
        <v>314</v>
      </c>
      <c r="I338">
        <v>26715187</v>
      </c>
      <c r="J338">
        <v>13076612</v>
      </c>
      <c r="K338" s="3">
        <v>0.48899999999999999</v>
      </c>
    </row>
    <row r="339" spans="1:11" x14ac:dyDescent="0.3">
      <c r="A339" t="s">
        <v>515</v>
      </c>
      <c r="B339" t="s">
        <v>142</v>
      </c>
      <c r="C339" t="s">
        <v>140</v>
      </c>
      <c r="D339" s="1" t="s">
        <v>475</v>
      </c>
      <c r="F339" t="s">
        <v>468</v>
      </c>
      <c r="H339" t="s">
        <v>314</v>
      </c>
      <c r="I339">
        <v>13758099</v>
      </c>
      <c r="J339">
        <v>6740605</v>
      </c>
      <c r="K339" s="3">
        <v>0.49</v>
      </c>
    </row>
    <row r="340" spans="1:11" x14ac:dyDescent="0.3">
      <c r="A340" t="s">
        <v>515</v>
      </c>
      <c r="B340" t="s">
        <v>142</v>
      </c>
      <c r="C340" t="s">
        <v>140</v>
      </c>
      <c r="D340" s="1" t="s">
        <v>475</v>
      </c>
      <c r="F340" t="s">
        <v>461</v>
      </c>
      <c r="H340" t="s">
        <v>314</v>
      </c>
      <c r="I340">
        <v>16434262</v>
      </c>
      <c r="J340">
        <v>8091983</v>
      </c>
      <c r="K340" s="3">
        <v>0.49199999999999999</v>
      </c>
    </row>
    <row r="341" spans="1:11" x14ac:dyDescent="0.3">
      <c r="A341" t="s">
        <v>515</v>
      </c>
      <c r="B341" t="s">
        <v>142</v>
      </c>
      <c r="C341" t="s">
        <v>140</v>
      </c>
      <c r="D341" s="1" t="s">
        <v>475</v>
      </c>
      <c r="F341" t="s">
        <v>473</v>
      </c>
      <c r="H341" t="s">
        <v>314</v>
      </c>
      <c r="I341">
        <v>33171804</v>
      </c>
      <c r="J341">
        <v>16308742</v>
      </c>
      <c r="K341" s="3">
        <v>0.49199999999999999</v>
      </c>
    </row>
    <row r="342" spans="1:11" x14ac:dyDescent="0.3">
      <c r="A342" t="s">
        <v>515</v>
      </c>
      <c r="B342" t="s">
        <v>142</v>
      </c>
      <c r="C342" t="s">
        <v>140</v>
      </c>
      <c r="D342" s="1" t="s">
        <v>475</v>
      </c>
      <c r="F342" t="s">
        <v>462</v>
      </c>
      <c r="H342" t="s">
        <v>314</v>
      </c>
      <c r="I342">
        <v>20782508</v>
      </c>
      <c r="J342">
        <v>10236237</v>
      </c>
      <c r="K342" s="3">
        <v>0.49299999999999999</v>
      </c>
    </row>
    <row r="343" spans="1:11" x14ac:dyDescent="0.3">
      <c r="A343" t="s">
        <v>515</v>
      </c>
      <c r="B343" t="s">
        <v>142</v>
      </c>
      <c r="C343" t="s">
        <v>140</v>
      </c>
      <c r="D343" s="1" t="s">
        <v>475</v>
      </c>
      <c r="F343" t="s">
        <v>449</v>
      </c>
      <c r="H343" t="s">
        <v>314</v>
      </c>
      <c r="I343">
        <v>17726193</v>
      </c>
      <c r="J343">
        <v>8800438</v>
      </c>
      <c r="K343" s="3">
        <v>0.496</v>
      </c>
    </row>
    <row r="344" spans="1:11" x14ac:dyDescent="0.3">
      <c r="A344" t="s">
        <v>515</v>
      </c>
      <c r="B344" t="s">
        <v>142</v>
      </c>
      <c r="C344" t="s">
        <v>140</v>
      </c>
      <c r="D344" s="1" t="s">
        <v>475</v>
      </c>
      <c r="F344" t="s">
        <v>441</v>
      </c>
      <c r="H344" t="s">
        <v>314</v>
      </c>
      <c r="I344">
        <v>27862153</v>
      </c>
      <c r="J344">
        <v>13874503</v>
      </c>
      <c r="K344" s="3">
        <v>0.498</v>
      </c>
    </row>
    <row r="345" spans="1:11" x14ac:dyDescent="0.3">
      <c r="A345" t="s">
        <v>515</v>
      </c>
      <c r="B345" t="s">
        <v>142</v>
      </c>
      <c r="C345" t="s">
        <v>140</v>
      </c>
      <c r="D345" s="1" t="s">
        <v>475</v>
      </c>
      <c r="F345" t="s">
        <v>452</v>
      </c>
      <c r="H345" t="s">
        <v>314</v>
      </c>
      <c r="I345">
        <v>22929777</v>
      </c>
      <c r="J345">
        <v>11485317</v>
      </c>
      <c r="K345" s="3">
        <v>0.501</v>
      </c>
    </row>
    <row r="346" spans="1:11" x14ac:dyDescent="0.3">
      <c r="A346" t="s">
        <v>515</v>
      </c>
      <c r="B346" t="s">
        <v>142</v>
      </c>
      <c r="C346" t="s">
        <v>140</v>
      </c>
      <c r="D346" s="1" t="s">
        <v>475</v>
      </c>
      <c r="F346" t="s">
        <v>376</v>
      </c>
      <c r="H346" t="s">
        <v>314</v>
      </c>
      <c r="I346">
        <v>17707788</v>
      </c>
      <c r="J346">
        <v>8934622</v>
      </c>
      <c r="K346" s="3">
        <v>0.505</v>
      </c>
    </row>
    <row r="347" spans="1:11" x14ac:dyDescent="0.3">
      <c r="A347" t="s">
        <v>515</v>
      </c>
      <c r="B347" t="s">
        <v>142</v>
      </c>
      <c r="C347" t="s">
        <v>140</v>
      </c>
      <c r="D347" s="1" t="s">
        <v>475</v>
      </c>
      <c r="F347" t="s">
        <v>470</v>
      </c>
      <c r="H347" t="s">
        <v>314</v>
      </c>
      <c r="I347">
        <v>23620773</v>
      </c>
      <c r="J347">
        <v>11953084</v>
      </c>
      <c r="K347" s="3">
        <v>0.50600000000000001</v>
      </c>
    </row>
    <row r="348" spans="1:11" x14ac:dyDescent="0.3">
      <c r="A348" t="s">
        <v>515</v>
      </c>
      <c r="B348" t="s">
        <v>142</v>
      </c>
      <c r="C348" t="s">
        <v>140</v>
      </c>
      <c r="D348" s="1" t="s">
        <v>475</v>
      </c>
      <c r="F348" t="s">
        <v>453</v>
      </c>
      <c r="H348" t="s">
        <v>314</v>
      </c>
      <c r="I348">
        <v>27601066</v>
      </c>
      <c r="J348">
        <v>14016132</v>
      </c>
      <c r="K348" s="3">
        <v>0.50800000000000001</v>
      </c>
    </row>
    <row r="349" spans="1:11" x14ac:dyDescent="0.3">
      <c r="A349" t="s">
        <v>515</v>
      </c>
      <c r="B349" t="s">
        <v>142</v>
      </c>
      <c r="C349" t="s">
        <v>140</v>
      </c>
      <c r="D349" s="1" t="s">
        <v>475</v>
      </c>
      <c r="F349" t="s">
        <v>374</v>
      </c>
      <c r="H349" t="s">
        <v>314</v>
      </c>
      <c r="I349">
        <v>16516071</v>
      </c>
      <c r="J349">
        <v>8460113</v>
      </c>
      <c r="K349" s="3">
        <v>0.51200000000000001</v>
      </c>
    </row>
    <row r="350" spans="1:11" x14ac:dyDescent="0.3">
      <c r="A350" t="s">
        <v>515</v>
      </c>
      <c r="B350" t="s">
        <v>142</v>
      </c>
      <c r="C350" t="s">
        <v>140</v>
      </c>
      <c r="D350" s="1" t="s">
        <v>475</v>
      </c>
      <c r="F350" t="s">
        <v>372</v>
      </c>
      <c r="H350" t="s">
        <v>314</v>
      </c>
      <c r="I350">
        <v>19430342</v>
      </c>
      <c r="J350">
        <v>9992284</v>
      </c>
      <c r="K350" s="3">
        <v>0.51400000000000001</v>
      </c>
    </row>
    <row r="351" spans="1:11" x14ac:dyDescent="0.3">
      <c r="A351" t="s">
        <v>515</v>
      </c>
      <c r="B351" t="s">
        <v>142</v>
      </c>
      <c r="C351" t="s">
        <v>140</v>
      </c>
      <c r="D351" s="1" t="s">
        <v>475</v>
      </c>
      <c r="F351" t="s">
        <v>459</v>
      </c>
      <c r="H351" t="s">
        <v>314</v>
      </c>
      <c r="I351">
        <v>26081198</v>
      </c>
      <c r="J351">
        <v>13466764</v>
      </c>
      <c r="K351" s="3">
        <v>0.51600000000000001</v>
      </c>
    </row>
    <row r="352" spans="1:11" x14ac:dyDescent="0.3">
      <c r="A352" t="s">
        <v>515</v>
      </c>
      <c r="B352" t="s">
        <v>142</v>
      </c>
      <c r="C352" t="s">
        <v>140</v>
      </c>
      <c r="D352" s="1" t="s">
        <v>475</v>
      </c>
      <c r="F352" t="s">
        <v>455</v>
      </c>
      <c r="H352" t="s">
        <v>314</v>
      </c>
      <c r="I352">
        <v>21898700</v>
      </c>
      <c r="J352">
        <v>11329275</v>
      </c>
      <c r="K352" s="3">
        <v>0.51700000000000002</v>
      </c>
    </row>
    <row r="353" spans="1:11" x14ac:dyDescent="0.3">
      <c r="A353" t="s">
        <v>515</v>
      </c>
      <c r="B353" t="s">
        <v>142</v>
      </c>
      <c r="C353" t="s">
        <v>140</v>
      </c>
      <c r="D353" s="1" t="s">
        <v>475</v>
      </c>
      <c r="F353" t="s">
        <v>375</v>
      </c>
      <c r="H353" t="s">
        <v>314</v>
      </c>
      <c r="I353">
        <v>16914052</v>
      </c>
      <c r="J353">
        <v>8835688</v>
      </c>
      <c r="K353" s="3">
        <v>0.52200000000000002</v>
      </c>
    </row>
    <row r="354" spans="1:11" x14ac:dyDescent="0.3">
      <c r="A354" t="s">
        <v>515</v>
      </c>
      <c r="B354" t="s">
        <v>142</v>
      </c>
      <c r="C354" t="s">
        <v>140</v>
      </c>
      <c r="D354" s="1" t="s">
        <v>475</v>
      </c>
      <c r="F354" t="s">
        <v>378</v>
      </c>
      <c r="H354" t="s">
        <v>314</v>
      </c>
      <c r="I354">
        <v>18512128</v>
      </c>
      <c r="J354">
        <v>9659096</v>
      </c>
      <c r="K354" s="3">
        <v>0.52200000000000002</v>
      </c>
    </row>
    <row r="355" spans="1:11" x14ac:dyDescent="0.3">
      <c r="A355" t="s">
        <v>515</v>
      </c>
      <c r="B355" t="s">
        <v>142</v>
      </c>
      <c r="C355" t="s">
        <v>140</v>
      </c>
      <c r="D355" s="1" t="s">
        <v>475</v>
      </c>
      <c r="F355" t="s">
        <v>371</v>
      </c>
      <c r="H355" t="s">
        <v>314</v>
      </c>
      <c r="I355">
        <v>18369724</v>
      </c>
      <c r="J355">
        <v>9619785</v>
      </c>
      <c r="K355" s="3">
        <v>0.52400000000000002</v>
      </c>
    </row>
    <row r="356" spans="1:11" x14ac:dyDescent="0.3">
      <c r="A356" t="s">
        <v>515</v>
      </c>
      <c r="B356" t="s">
        <v>142</v>
      </c>
      <c r="C356" t="s">
        <v>140</v>
      </c>
      <c r="D356" s="1" t="s">
        <v>475</v>
      </c>
      <c r="F356" t="s">
        <v>368</v>
      </c>
      <c r="H356" t="s">
        <v>314</v>
      </c>
      <c r="I356">
        <v>311390974</v>
      </c>
      <c r="J356">
        <v>163408440</v>
      </c>
      <c r="K356" s="3">
        <v>0.52500000000000002</v>
      </c>
    </row>
    <row r="357" spans="1:11" x14ac:dyDescent="0.3">
      <c r="A357" t="s">
        <v>515</v>
      </c>
      <c r="B357" t="s">
        <v>142</v>
      </c>
      <c r="C357" t="s">
        <v>140</v>
      </c>
      <c r="D357" s="1" t="s">
        <v>475</v>
      </c>
      <c r="F357" t="s">
        <v>369</v>
      </c>
      <c r="H357" t="s">
        <v>314</v>
      </c>
      <c r="I357">
        <v>17272986</v>
      </c>
      <c r="J357">
        <v>9108477</v>
      </c>
      <c r="K357" s="3">
        <v>0.52700000000000002</v>
      </c>
    </row>
    <row r="358" spans="1:11" x14ac:dyDescent="0.3">
      <c r="A358" t="s">
        <v>515</v>
      </c>
      <c r="B358" t="s">
        <v>142</v>
      </c>
      <c r="C358" t="s">
        <v>140</v>
      </c>
      <c r="D358" s="1" t="s">
        <v>475</v>
      </c>
      <c r="F358" t="s">
        <v>373</v>
      </c>
      <c r="H358" t="s">
        <v>314</v>
      </c>
      <c r="I358">
        <v>16270515</v>
      </c>
      <c r="J358">
        <v>8598291</v>
      </c>
      <c r="K358" s="3">
        <v>0.52800000000000002</v>
      </c>
    </row>
    <row r="359" spans="1:11" x14ac:dyDescent="0.3">
      <c r="A359" t="s">
        <v>515</v>
      </c>
      <c r="B359" t="s">
        <v>142</v>
      </c>
      <c r="C359" t="s">
        <v>140</v>
      </c>
      <c r="D359" s="1" t="s">
        <v>475</v>
      </c>
      <c r="F359" t="s">
        <v>377</v>
      </c>
      <c r="H359" t="s">
        <v>314</v>
      </c>
      <c r="I359">
        <v>18632579</v>
      </c>
      <c r="J359">
        <v>9846999</v>
      </c>
      <c r="K359" s="3">
        <v>0.52800000000000002</v>
      </c>
    </row>
    <row r="360" spans="1:11" x14ac:dyDescent="0.3">
      <c r="A360" t="s">
        <v>515</v>
      </c>
      <c r="B360" t="s">
        <v>142</v>
      </c>
      <c r="C360" t="s">
        <v>140</v>
      </c>
      <c r="D360" s="1" t="s">
        <v>475</v>
      </c>
      <c r="F360" t="s">
        <v>370</v>
      </c>
      <c r="H360" t="s">
        <v>314</v>
      </c>
      <c r="I360">
        <v>19532767</v>
      </c>
      <c r="J360">
        <v>10407900</v>
      </c>
      <c r="K360" s="3">
        <v>0.53300000000000003</v>
      </c>
    </row>
    <row r="361" spans="1:11" x14ac:dyDescent="0.3">
      <c r="A361" t="s">
        <v>515</v>
      </c>
      <c r="B361" t="s">
        <v>142</v>
      </c>
      <c r="C361" t="s">
        <v>140</v>
      </c>
      <c r="D361" s="1" t="s">
        <v>475</v>
      </c>
      <c r="F361" t="s">
        <v>379</v>
      </c>
      <c r="H361" t="s">
        <v>314</v>
      </c>
      <c r="I361">
        <v>18754272</v>
      </c>
      <c r="J361">
        <v>9986980</v>
      </c>
      <c r="K361" s="3">
        <v>0.53300000000000003</v>
      </c>
    </row>
    <row r="362" spans="1:11" x14ac:dyDescent="0.3">
      <c r="A362" t="s">
        <v>515</v>
      </c>
      <c r="B362" t="s">
        <v>142</v>
      </c>
      <c r="C362" t="s">
        <v>140</v>
      </c>
      <c r="D362" s="1" t="s">
        <v>475</v>
      </c>
      <c r="F362" t="s">
        <v>381</v>
      </c>
      <c r="H362" t="s">
        <v>314</v>
      </c>
      <c r="I362">
        <v>17502988</v>
      </c>
      <c r="J362">
        <v>9328033</v>
      </c>
      <c r="K362" s="3">
        <v>0.53300000000000003</v>
      </c>
    </row>
    <row r="363" spans="1:11" x14ac:dyDescent="0.3">
      <c r="A363" t="s">
        <v>515</v>
      </c>
      <c r="B363" t="s">
        <v>142</v>
      </c>
      <c r="C363" t="s">
        <v>140</v>
      </c>
      <c r="D363" s="1" t="s">
        <v>475</v>
      </c>
      <c r="F363" t="s">
        <v>367</v>
      </c>
      <c r="H363" t="s">
        <v>314</v>
      </c>
      <c r="I363">
        <v>264527611</v>
      </c>
      <c r="J363">
        <v>141672485</v>
      </c>
      <c r="K363" s="3">
        <v>0.53600000000000003</v>
      </c>
    </row>
    <row r="364" spans="1:11" x14ac:dyDescent="0.3">
      <c r="A364" t="s">
        <v>515</v>
      </c>
      <c r="B364" t="s">
        <v>142</v>
      </c>
      <c r="C364" t="s">
        <v>140</v>
      </c>
      <c r="D364" s="1" t="s">
        <v>475</v>
      </c>
      <c r="F364" t="s">
        <v>464</v>
      </c>
      <c r="H364" t="s">
        <v>314</v>
      </c>
      <c r="I364">
        <v>15913325</v>
      </c>
      <c r="J364">
        <v>8544910</v>
      </c>
      <c r="K364" s="3">
        <v>0.53700000000000003</v>
      </c>
    </row>
    <row r="365" spans="1:11" x14ac:dyDescent="0.3">
      <c r="A365" t="s">
        <v>515</v>
      </c>
      <c r="B365" t="s">
        <v>142</v>
      </c>
      <c r="C365" t="s">
        <v>140</v>
      </c>
      <c r="D365" s="1" t="s">
        <v>475</v>
      </c>
      <c r="F365" t="s">
        <v>446</v>
      </c>
      <c r="H365" t="s">
        <v>314</v>
      </c>
      <c r="I365">
        <v>18318501</v>
      </c>
      <c r="J365">
        <v>9851688</v>
      </c>
      <c r="K365" s="3">
        <v>0.53800000000000003</v>
      </c>
    </row>
    <row r="366" spans="1:11" x14ac:dyDescent="0.3">
      <c r="A366" t="s">
        <v>515</v>
      </c>
      <c r="B366" t="s">
        <v>142</v>
      </c>
      <c r="C366" t="s">
        <v>140</v>
      </c>
      <c r="D366" s="1" t="s">
        <v>475</v>
      </c>
      <c r="F366" t="s">
        <v>382</v>
      </c>
      <c r="H366" t="s">
        <v>314</v>
      </c>
      <c r="I366">
        <v>16849892</v>
      </c>
      <c r="J366">
        <v>9114239</v>
      </c>
      <c r="K366" s="3">
        <v>0.54100000000000004</v>
      </c>
    </row>
    <row r="367" spans="1:11" x14ac:dyDescent="0.3">
      <c r="A367" t="s">
        <v>515</v>
      </c>
      <c r="B367" t="s">
        <v>142</v>
      </c>
      <c r="C367" t="s">
        <v>140</v>
      </c>
      <c r="D367" s="1" t="s">
        <v>475</v>
      </c>
      <c r="F367" t="s">
        <v>364</v>
      </c>
      <c r="H367" t="s">
        <v>314</v>
      </c>
      <c r="I367">
        <v>27250039</v>
      </c>
      <c r="J367">
        <v>14868631</v>
      </c>
      <c r="K367" s="3">
        <v>0.54600000000000004</v>
      </c>
    </row>
    <row r="368" spans="1:11" x14ac:dyDescent="0.3">
      <c r="A368" t="s">
        <v>515</v>
      </c>
      <c r="B368" t="s">
        <v>142</v>
      </c>
      <c r="C368" t="s">
        <v>140</v>
      </c>
      <c r="D368" s="1" t="s">
        <v>475</v>
      </c>
      <c r="F368" t="s">
        <v>366</v>
      </c>
      <c r="H368" t="s">
        <v>314</v>
      </c>
      <c r="I368">
        <v>27250039</v>
      </c>
      <c r="J368">
        <v>14868631</v>
      </c>
      <c r="K368" s="3">
        <v>0.54600000000000004</v>
      </c>
    </row>
    <row r="369" spans="1:11" x14ac:dyDescent="0.3">
      <c r="A369" t="s">
        <v>515</v>
      </c>
      <c r="B369" t="s">
        <v>142</v>
      </c>
      <c r="C369" t="s">
        <v>140</v>
      </c>
      <c r="D369" s="1" t="s">
        <v>475</v>
      </c>
      <c r="F369" t="s">
        <v>457</v>
      </c>
      <c r="H369" t="s">
        <v>314</v>
      </c>
      <c r="I369">
        <v>25610391</v>
      </c>
      <c r="J369">
        <v>14064095</v>
      </c>
      <c r="K369" s="3">
        <v>0.54900000000000004</v>
      </c>
    </row>
    <row r="370" spans="1:11" x14ac:dyDescent="0.3">
      <c r="A370" t="s">
        <v>515</v>
      </c>
      <c r="B370" t="s">
        <v>142</v>
      </c>
      <c r="C370" t="s">
        <v>140</v>
      </c>
      <c r="D370" s="1" t="s">
        <v>475</v>
      </c>
      <c r="F370" t="s">
        <v>363</v>
      </c>
      <c r="H370" t="s">
        <v>314</v>
      </c>
      <c r="I370">
        <v>35265189</v>
      </c>
      <c r="J370">
        <v>19400397</v>
      </c>
      <c r="K370" s="3">
        <v>0.55000000000000004</v>
      </c>
    </row>
    <row r="371" spans="1:11" x14ac:dyDescent="0.3">
      <c r="A371" t="s">
        <v>515</v>
      </c>
      <c r="B371" t="s">
        <v>142</v>
      </c>
      <c r="C371" t="s">
        <v>140</v>
      </c>
      <c r="D371" s="1" t="s">
        <v>475</v>
      </c>
      <c r="F371" t="s">
        <v>365</v>
      </c>
      <c r="H371" t="s">
        <v>314</v>
      </c>
      <c r="I371">
        <v>35265189</v>
      </c>
      <c r="J371">
        <v>19400397</v>
      </c>
      <c r="K371" s="3">
        <v>0.55000000000000004</v>
      </c>
    </row>
    <row r="372" spans="1:11" x14ac:dyDescent="0.3">
      <c r="A372" t="s">
        <v>515</v>
      </c>
      <c r="B372" t="s">
        <v>142</v>
      </c>
      <c r="C372" t="s">
        <v>140</v>
      </c>
      <c r="D372" s="1" t="s">
        <v>475</v>
      </c>
      <c r="F372" t="s">
        <v>456</v>
      </c>
      <c r="H372" t="s">
        <v>314</v>
      </c>
      <c r="I372">
        <v>24102080</v>
      </c>
      <c r="J372">
        <v>13283361</v>
      </c>
      <c r="K372" s="3">
        <v>0.55100000000000005</v>
      </c>
    </row>
    <row r="373" spans="1:11" x14ac:dyDescent="0.3">
      <c r="A373" t="s">
        <v>515</v>
      </c>
      <c r="B373" t="s">
        <v>142</v>
      </c>
      <c r="C373" t="s">
        <v>140</v>
      </c>
      <c r="D373" s="1" t="s">
        <v>475</v>
      </c>
      <c r="F373" t="s">
        <v>380</v>
      </c>
      <c r="H373" t="s">
        <v>314</v>
      </c>
      <c r="I373">
        <v>17256114</v>
      </c>
      <c r="J373">
        <v>9641999</v>
      </c>
      <c r="K373" s="3">
        <v>0.55900000000000005</v>
      </c>
    </row>
    <row r="374" spans="1:11" x14ac:dyDescent="0.3">
      <c r="A374" t="s">
        <v>515</v>
      </c>
      <c r="B374" t="s">
        <v>142</v>
      </c>
      <c r="C374" t="s">
        <v>140</v>
      </c>
      <c r="D374" s="1" t="s">
        <v>475</v>
      </c>
      <c r="F374" t="s">
        <v>450</v>
      </c>
      <c r="H374" t="s">
        <v>314</v>
      </c>
      <c r="I374">
        <v>22719257</v>
      </c>
      <c r="J374">
        <v>12717998</v>
      </c>
      <c r="K374" s="3">
        <v>0.56000000000000005</v>
      </c>
    </row>
    <row r="375" spans="1:11" x14ac:dyDescent="0.3">
      <c r="A375" t="s">
        <v>515</v>
      </c>
      <c r="B375" t="s">
        <v>142</v>
      </c>
      <c r="C375" t="s">
        <v>140</v>
      </c>
      <c r="D375" s="1" t="s">
        <v>475</v>
      </c>
      <c r="F375" t="s">
        <v>458</v>
      </c>
      <c r="H375" t="s">
        <v>314</v>
      </c>
      <c r="I375">
        <v>24869942</v>
      </c>
      <c r="J375">
        <v>14175875</v>
      </c>
      <c r="K375" s="3">
        <v>0.56999999999999995</v>
      </c>
    </row>
    <row r="376" spans="1:11" x14ac:dyDescent="0.3">
      <c r="A376" t="s">
        <v>515</v>
      </c>
      <c r="B376" t="s">
        <v>142</v>
      </c>
      <c r="C376" t="s">
        <v>140</v>
      </c>
      <c r="D376" s="1" t="s">
        <v>475</v>
      </c>
      <c r="F376" t="s">
        <v>454</v>
      </c>
      <c r="H376" t="s">
        <v>314</v>
      </c>
      <c r="I376">
        <v>30824228</v>
      </c>
      <c r="J376">
        <v>18282171</v>
      </c>
      <c r="K376" s="3">
        <v>0.59299999999999997</v>
      </c>
    </row>
    <row r="377" spans="1:11" x14ac:dyDescent="0.3">
      <c r="A377" t="s">
        <v>515</v>
      </c>
      <c r="B377" t="s">
        <v>142</v>
      </c>
      <c r="C377" t="s">
        <v>140</v>
      </c>
      <c r="D377" s="1" t="s">
        <v>475</v>
      </c>
      <c r="F377" t="s">
        <v>411</v>
      </c>
      <c r="H377" t="s">
        <v>314</v>
      </c>
    </row>
    <row r="378" spans="1:11" x14ac:dyDescent="0.3">
      <c r="A378" t="s">
        <v>515</v>
      </c>
      <c r="B378" t="s">
        <v>142</v>
      </c>
      <c r="C378" t="s">
        <v>140</v>
      </c>
      <c r="D378" s="1" t="s">
        <v>475</v>
      </c>
      <c r="F378" t="s">
        <v>412</v>
      </c>
      <c r="H378" t="s">
        <v>314</v>
      </c>
    </row>
    <row r="379" spans="1:11" x14ac:dyDescent="0.3">
      <c r="A379" t="s">
        <v>515</v>
      </c>
      <c r="B379" t="s">
        <v>142</v>
      </c>
      <c r="C379" t="s">
        <v>140</v>
      </c>
      <c r="D379" s="1" t="s">
        <v>475</v>
      </c>
      <c r="F379" t="s">
        <v>413</v>
      </c>
      <c r="H379" t="s">
        <v>314</v>
      </c>
    </row>
    <row r="380" spans="1:11" x14ac:dyDescent="0.3">
      <c r="A380" t="s">
        <v>515</v>
      </c>
      <c r="B380" t="s">
        <v>142</v>
      </c>
      <c r="C380" t="s">
        <v>140</v>
      </c>
      <c r="D380" s="1" t="s">
        <v>475</v>
      </c>
      <c r="F380" t="s">
        <v>414</v>
      </c>
      <c r="H380" t="s">
        <v>314</v>
      </c>
    </row>
    <row r="381" spans="1:11" x14ac:dyDescent="0.3">
      <c r="A381" t="s">
        <v>515</v>
      </c>
      <c r="B381" t="s">
        <v>142</v>
      </c>
      <c r="C381" t="s">
        <v>140</v>
      </c>
      <c r="D381" s="1" t="s">
        <v>475</v>
      </c>
      <c r="F381" t="s">
        <v>415</v>
      </c>
      <c r="H381" t="s">
        <v>314</v>
      </c>
    </row>
    <row r="382" spans="1:11" x14ac:dyDescent="0.3">
      <c r="A382" t="s">
        <v>515</v>
      </c>
      <c r="B382" t="s">
        <v>142</v>
      </c>
      <c r="C382" t="s">
        <v>140</v>
      </c>
      <c r="D382" s="1" t="s">
        <v>475</v>
      </c>
      <c r="F382" t="s">
        <v>416</v>
      </c>
      <c r="H382" t="s">
        <v>314</v>
      </c>
    </row>
    <row r="383" spans="1:11" x14ac:dyDescent="0.3">
      <c r="A383" t="s">
        <v>515</v>
      </c>
      <c r="B383" t="s">
        <v>142</v>
      </c>
      <c r="C383" t="s">
        <v>140</v>
      </c>
      <c r="D383" s="1" t="s">
        <v>475</v>
      </c>
      <c r="F383" t="s">
        <v>417</v>
      </c>
      <c r="H383" t="s">
        <v>314</v>
      </c>
    </row>
    <row r="384" spans="1:11" x14ac:dyDescent="0.3">
      <c r="A384" t="s">
        <v>515</v>
      </c>
      <c r="B384" t="s">
        <v>142</v>
      </c>
      <c r="C384" t="s">
        <v>140</v>
      </c>
      <c r="D384" s="1" t="s">
        <v>475</v>
      </c>
      <c r="F384" t="s">
        <v>418</v>
      </c>
      <c r="H384" t="s">
        <v>314</v>
      </c>
    </row>
    <row r="385" spans="1:19" x14ac:dyDescent="0.3">
      <c r="A385" t="s">
        <v>515</v>
      </c>
      <c r="B385" t="s">
        <v>142</v>
      </c>
      <c r="C385" t="s">
        <v>140</v>
      </c>
      <c r="D385" s="1" t="s">
        <v>475</v>
      </c>
      <c r="F385" t="s">
        <v>419</v>
      </c>
      <c r="H385" t="s">
        <v>314</v>
      </c>
    </row>
    <row r="386" spans="1:19" x14ac:dyDescent="0.3">
      <c r="A386" t="s">
        <v>515</v>
      </c>
      <c r="B386" t="s">
        <v>142</v>
      </c>
      <c r="C386" t="s">
        <v>140</v>
      </c>
      <c r="D386" s="1" t="s">
        <v>475</v>
      </c>
      <c r="F386" t="s">
        <v>420</v>
      </c>
      <c r="H386" t="s">
        <v>314</v>
      </c>
    </row>
    <row r="387" spans="1:19" x14ac:dyDescent="0.3">
      <c r="A387" t="s">
        <v>515</v>
      </c>
      <c r="B387" t="s">
        <v>142</v>
      </c>
      <c r="C387" t="s">
        <v>140</v>
      </c>
      <c r="D387" s="1" t="s">
        <v>475</v>
      </c>
      <c r="F387" t="s">
        <v>421</v>
      </c>
      <c r="H387" t="s">
        <v>314</v>
      </c>
    </row>
    <row r="388" spans="1:19" x14ac:dyDescent="0.3">
      <c r="A388" t="s">
        <v>515</v>
      </c>
      <c r="B388" t="s">
        <v>142</v>
      </c>
      <c r="C388" t="s">
        <v>140</v>
      </c>
      <c r="D388" s="1" t="s">
        <v>475</v>
      </c>
      <c r="F388" t="s">
        <v>422</v>
      </c>
      <c r="H388" t="s">
        <v>314</v>
      </c>
    </row>
    <row r="389" spans="1:19" x14ac:dyDescent="0.3">
      <c r="A389" t="s">
        <v>515</v>
      </c>
      <c r="B389" t="s">
        <v>142</v>
      </c>
      <c r="C389" t="s">
        <v>140</v>
      </c>
      <c r="D389" s="1" t="s">
        <v>475</v>
      </c>
      <c r="F389" t="s">
        <v>423</v>
      </c>
      <c r="H389" t="s">
        <v>314</v>
      </c>
    </row>
    <row r="390" spans="1:19" x14ac:dyDescent="0.3">
      <c r="A390" t="s">
        <v>515</v>
      </c>
      <c r="B390" t="s">
        <v>142</v>
      </c>
      <c r="C390" t="s">
        <v>140</v>
      </c>
      <c r="D390" s="1" t="s">
        <v>475</v>
      </c>
      <c r="F390" t="s">
        <v>424</v>
      </c>
      <c r="H390" t="s">
        <v>314</v>
      </c>
    </row>
    <row r="391" spans="1:19" x14ac:dyDescent="0.3">
      <c r="A391" t="s">
        <v>515</v>
      </c>
      <c r="B391" t="s">
        <v>142</v>
      </c>
      <c r="C391" t="s">
        <v>140</v>
      </c>
      <c r="D391" s="1" t="s">
        <v>475</v>
      </c>
      <c r="F391" t="s">
        <v>425</v>
      </c>
      <c r="H391" t="s">
        <v>314</v>
      </c>
    </row>
    <row r="392" spans="1:19" x14ac:dyDescent="0.3">
      <c r="A392" t="s">
        <v>515</v>
      </c>
      <c r="B392" t="s">
        <v>142</v>
      </c>
      <c r="C392" t="s">
        <v>140</v>
      </c>
      <c r="D392" s="1" t="s">
        <v>475</v>
      </c>
      <c r="F392" t="s">
        <v>426</v>
      </c>
      <c r="H392" t="s">
        <v>314</v>
      </c>
    </row>
    <row r="393" spans="1:19" x14ac:dyDescent="0.3">
      <c r="A393" t="s">
        <v>515</v>
      </c>
      <c r="B393" t="s">
        <v>142</v>
      </c>
      <c r="C393" t="s">
        <v>140</v>
      </c>
      <c r="D393" s="1" t="s">
        <v>475</v>
      </c>
      <c r="F393" t="s">
        <v>427</v>
      </c>
      <c r="H393" t="s">
        <v>314</v>
      </c>
    </row>
    <row r="394" spans="1:19" x14ac:dyDescent="0.3">
      <c r="A394" t="s">
        <v>515</v>
      </c>
      <c r="B394" t="s">
        <v>142</v>
      </c>
      <c r="C394" t="s">
        <v>140</v>
      </c>
      <c r="D394" s="1" t="s">
        <v>475</v>
      </c>
      <c r="F394" t="s">
        <v>428</v>
      </c>
      <c r="H394" t="s">
        <v>314</v>
      </c>
    </row>
    <row r="395" spans="1:19" x14ac:dyDescent="0.3">
      <c r="A395" t="s">
        <v>515</v>
      </c>
      <c r="B395" t="s">
        <v>142</v>
      </c>
      <c r="C395" t="s">
        <v>140</v>
      </c>
      <c r="D395" s="1" t="s">
        <v>475</v>
      </c>
      <c r="F395" t="s">
        <v>433</v>
      </c>
      <c r="H395" t="s">
        <v>314</v>
      </c>
      <c r="K395" s="3"/>
      <c r="M395" s="3"/>
      <c r="O395" s="3"/>
      <c r="Q395" s="3"/>
      <c r="S395" s="3"/>
    </row>
    <row r="396" spans="1:19" x14ac:dyDescent="0.3">
      <c r="A396" t="s">
        <v>515</v>
      </c>
      <c r="B396" t="s">
        <v>142</v>
      </c>
      <c r="C396" t="s">
        <v>140</v>
      </c>
      <c r="D396" s="1" t="s">
        <v>475</v>
      </c>
      <c r="F396" t="s">
        <v>434</v>
      </c>
      <c r="H396" t="s">
        <v>314</v>
      </c>
    </row>
    <row r="397" spans="1:19" x14ac:dyDescent="0.3">
      <c r="A397" t="s">
        <v>515</v>
      </c>
      <c r="B397" t="s">
        <v>142</v>
      </c>
      <c r="C397" t="s">
        <v>140</v>
      </c>
      <c r="D397" s="1" t="s">
        <v>475</v>
      </c>
      <c r="F397" t="s">
        <v>435</v>
      </c>
      <c r="H397" t="s">
        <v>314</v>
      </c>
    </row>
    <row r="398" spans="1:19" x14ac:dyDescent="0.3">
      <c r="A398" t="s">
        <v>515</v>
      </c>
      <c r="B398" t="s">
        <v>142</v>
      </c>
      <c r="C398" t="s">
        <v>140</v>
      </c>
      <c r="D398" s="1" t="s">
        <v>475</v>
      </c>
      <c r="F398" t="s">
        <v>436</v>
      </c>
      <c r="H398" t="s">
        <v>314</v>
      </c>
    </row>
    <row r="399" spans="1:19" x14ac:dyDescent="0.3">
      <c r="A399" t="s">
        <v>515</v>
      </c>
      <c r="B399" t="s">
        <v>142</v>
      </c>
      <c r="C399" t="s">
        <v>140</v>
      </c>
      <c r="D399" s="1" t="s">
        <v>475</v>
      </c>
      <c r="F399" t="s">
        <v>437</v>
      </c>
      <c r="H399" t="s">
        <v>314</v>
      </c>
    </row>
    <row r="400" spans="1:19" x14ac:dyDescent="0.3">
      <c r="A400" t="s">
        <v>515</v>
      </c>
      <c r="B400" t="s">
        <v>142</v>
      </c>
      <c r="C400" t="s">
        <v>140</v>
      </c>
      <c r="D400" s="1" t="s">
        <v>475</v>
      </c>
      <c r="F400" t="s">
        <v>438</v>
      </c>
      <c r="H400" t="s">
        <v>314</v>
      </c>
    </row>
    <row r="401" spans="1:11" x14ac:dyDescent="0.3">
      <c r="A401" t="s">
        <v>515</v>
      </c>
      <c r="B401" t="s">
        <v>254</v>
      </c>
      <c r="C401" t="s">
        <v>140</v>
      </c>
      <c r="D401" s="1" t="s">
        <v>475</v>
      </c>
      <c r="F401" t="s">
        <v>447</v>
      </c>
      <c r="H401" t="s">
        <v>314</v>
      </c>
      <c r="I401">
        <v>15785197</v>
      </c>
      <c r="J401">
        <v>11762132</v>
      </c>
      <c r="K401" s="3">
        <v>0.745</v>
      </c>
    </row>
    <row r="402" spans="1:11" x14ac:dyDescent="0.3">
      <c r="A402" t="s">
        <v>515</v>
      </c>
      <c r="B402" t="s">
        <v>254</v>
      </c>
      <c r="C402" t="s">
        <v>140</v>
      </c>
      <c r="D402" s="1" t="s">
        <v>475</v>
      </c>
      <c r="F402" t="s">
        <v>472</v>
      </c>
      <c r="H402" t="s">
        <v>314</v>
      </c>
      <c r="I402">
        <v>17360766</v>
      </c>
      <c r="J402">
        <v>13214329</v>
      </c>
      <c r="K402" s="3">
        <v>0.76100000000000001</v>
      </c>
    </row>
    <row r="403" spans="1:11" x14ac:dyDescent="0.3">
      <c r="A403" t="s">
        <v>515</v>
      </c>
      <c r="B403" t="s">
        <v>254</v>
      </c>
      <c r="C403" t="s">
        <v>140</v>
      </c>
      <c r="D403" s="1" t="s">
        <v>475</v>
      </c>
      <c r="F403" t="s">
        <v>460</v>
      </c>
      <c r="H403" t="s">
        <v>314</v>
      </c>
      <c r="I403">
        <v>24144391</v>
      </c>
      <c r="J403">
        <v>18408489</v>
      </c>
      <c r="K403" s="3">
        <v>0.76200000000000001</v>
      </c>
    </row>
    <row r="404" spans="1:11" x14ac:dyDescent="0.3">
      <c r="A404" t="s">
        <v>515</v>
      </c>
      <c r="B404" t="s">
        <v>254</v>
      </c>
      <c r="C404" t="s">
        <v>140</v>
      </c>
      <c r="D404" s="1" t="s">
        <v>475</v>
      </c>
      <c r="F404" t="s">
        <v>448</v>
      </c>
      <c r="H404" t="s">
        <v>314</v>
      </c>
      <c r="I404">
        <v>23952609</v>
      </c>
      <c r="J404">
        <v>18289537</v>
      </c>
      <c r="K404" s="3">
        <v>0.76400000000000001</v>
      </c>
    </row>
    <row r="405" spans="1:11" x14ac:dyDescent="0.3">
      <c r="A405" t="s">
        <v>515</v>
      </c>
      <c r="B405" t="s">
        <v>254</v>
      </c>
      <c r="C405" t="s">
        <v>140</v>
      </c>
      <c r="D405" s="1" t="s">
        <v>475</v>
      </c>
      <c r="F405" t="s">
        <v>461</v>
      </c>
      <c r="H405" t="s">
        <v>314</v>
      </c>
      <c r="I405">
        <v>16434262</v>
      </c>
      <c r="J405">
        <v>12559327</v>
      </c>
      <c r="K405" s="3">
        <v>0.76400000000000001</v>
      </c>
    </row>
    <row r="406" spans="1:11" x14ac:dyDescent="0.3">
      <c r="A406" t="s">
        <v>515</v>
      </c>
      <c r="B406" t="s">
        <v>254</v>
      </c>
      <c r="C406" t="s">
        <v>140</v>
      </c>
      <c r="D406" s="1" t="s">
        <v>475</v>
      </c>
      <c r="F406" t="s">
        <v>445</v>
      </c>
      <c r="H406" t="s">
        <v>314</v>
      </c>
      <c r="I406">
        <v>14797790</v>
      </c>
      <c r="J406">
        <v>11411348</v>
      </c>
      <c r="K406" s="3">
        <v>0.77100000000000002</v>
      </c>
    </row>
    <row r="407" spans="1:11" x14ac:dyDescent="0.3">
      <c r="A407" t="s">
        <v>515</v>
      </c>
      <c r="B407" t="s">
        <v>254</v>
      </c>
      <c r="C407" t="s">
        <v>140</v>
      </c>
      <c r="D407" s="1" t="s">
        <v>475</v>
      </c>
      <c r="F407" t="s">
        <v>372</v>
      </c>
      <c r="H407" t="s">
        <v>314</v>
      </c>
      <c r="I407">
        <v>16516071</v>
      </c>
      <c r="J407">
        <v>12912467</v>
      </c>
      <c r="K407" s="3">
        <v>0.78200000000000003</v>
      </c>
    </row>
    <row r="408" spans="1:11" x14ac:dyDescent="0.3">
      <c r="A408" t="s">
        <v>515</v>
      </c>
      <c r="B408" t="s">
        <v>254</v>
      </c>
      <c r="C408" t="s">
        <v>140</v>
      </c>
      <c r="D408" s="1" t="s">
        <v>475</v>
      </c>
      <c r="F408" t="s">
        <v>451</v>
      </c>
      <c r="H408" t="s">
        <v>314</v>
      </c>
      <c r="I408">
        <v>15843789</v>
      </c>
      <c r="J408">
        <v>12438636</v>
      </c>
      <c r="K408" s="3">
        <v>0.78500000000000003</v>
      </c>
    </row>
    <row r="409" spans="1:11" x14ac:dyDescent="0.3">
      <c r="A409" t="s">
        <v>515</v>
      </c>
      <c r="B409" t="s">
        <v>254</v>
      </c>
      <c r="C409" t="s">
        <v>140</v>
      </c>
      <c r="D409" s="1" t="s">
        <v>475</v>
      </c>
      <c r="F409" t="s">
        <v>467</v>
      </c>
      <c r="H409" t="s">
        <v>314</v>
      </c>
      <c r="I409">
        <v>14887551</v>
      </c>
      <c r="J409">
        <v>11687521</v>
      </c>
      <c r="K409" s="3">
        <v>0.78500000000000003</v>
      </c>
    </row>
    <row r="410" spans="1:11" x14ac:dyDescent="0.3">
      <c r="A410" t="s">
        <v>515</v>
      </c>
      <c r="B410" t="s">
        <v>254</v>
      </c>
      <c r="C410" t="s">
        <v>140</v>
      </c>
      <c r="D410" s="1" t="s">
        <v>475</v>
      </c>
      <c r="F410" t="s">
        <v>370</v>
      </c>
      <c r="H410" t="s">
        <v>314</v>
      </c>
      <c r="I410">
        <v>19430342</v>
      </c>
      <c r="J410">
        <v>15285970</v>
      </c>
      <c r="K410" s="3">
        <v>0.78700000000000003</v>
      </c>
    </row>
    <row r="411" spans="1:11" x14ac:dyDescent="0.3">
      <c r="A411" t="s">
        <v>515</v>
      </c>
      <c r="B411" t="s">
        <v>254</v>
      </c>
      <c r="C411" t="s">
        <v>140</v>
      </c>
      <c r="D411" s="1" t="s">
        <v>475</v>
      </c>
      <c r="F411" t="s">
        <v>397</v>
      </c>
      <c r="H411" t="s">
        <v>314</v>
      </c>
      <c r="I411">
        <v>37164158</v>
      </c>
      <c r="J411">
        <v>29282188</v>
      </c>
      <c r="K411" s="3">
        <v>0.78800000000000003</v>
      </c>
    </row>
    <row r="412" spans="1:11" x14ac:dyDescent="0.3">
      <c r="A412" t="s">
        <v>515</v>
      </c>
      <c r="B412" t="s">
        <v>254</v>
      </c>
      <c r="C412" t="s">
        <v>140</v>
      </c>
      <c r="D412" s="1" t="s">
        <v>475</v>
      </c>
      <c r="F412" t="s">
        <v>416</v>
      </c>
      <c r="H412" t="s">
        <v>314</v>
      </c>
      <c r="I412">
        <v>35387266</v>
      </c>
      <c r="J412">
        <v>27920830</v>
      </c>
      <c r="K412" s="3">
        <v>0.78900000000000003</v>
      </c>
    </row>
    <row r="413" spans="1:11" x14ac:dyDescent="0.3">
      <c r="A413" t="s">
        <v>515</v>
      </c>
      <c r="B413" t="s">
        <v>254</v>
      </c>
      <c r="C413" t="s">
        <v>140</v>
      </c>
      <c r="D413" s="1" t="s">
        <v>475</v>
      </c>
      <c r="F413" t="s">
        <v>443</v>
      </c>
      <c r="H413" t="s">
        <v>314</v>
      </c>
      <c r="I413">
        <v>17332207</v>
      </c>
      <c r="J413">
        <v>13667473</v>
      </c>
      <c r="K413" s="3">
        <v>0.78900000000000003</v>
      </c>
    </row>
    <row r="414" spans="1:11" x14ac:dyDescent="0.3">
      <c r="A414" t="s">
        <v>515</v>
      </c>
      <c r="B414" t="s">
        <v>254</v>
      </c>
      <c r="C414" t="s">
        <v>140</v>
      </c>
      <c r="D414" s="1" t="s">
        <v>475</v>
      </c>
      <c r="F414" t="s">
        <v>453</v>
      </c>
      <c r="H414" t="s">
        <v>314</v>
      </c>
      <c r="I414">
        <v>27601066</v>
      </c>
      <c r="J414">
        <v>21785079</v>
      </c>
      <c r="K414" s="3">
        <v>0.78900000000000003</v>
      </c>
    </row>
    <row r="415" spans="1:11" x14ac:dyDescent="0.3">
      <c r="A415" t="s">
        <v>515</v>
      </c>
      <c r="B415" t="s">
        <v>254</v>
      </c>
      <c r="C415" t="s">
        <v>140</v>
      </c>
      <c r="D415" s="1" t="s">
        <v>475</v>
      </c>
      <c r="F415" t="s">
        <v>369</v>
      </c>
      <c r="H415" t="s">
        <v>314</v>
      </c>
      <c r="I415">
        <v>18369724</v>
      </c>
      <c r="J415">
        <v>14538526</v>
      </c>
      <c r="K415" s="3">
        <v>0.79100000000000004</v>
      </c>
    </row>
    <row r="416" spans="1:11" x14ac:dyDescent="0.3">
      <c r="A416" t="s">
        <v>515</v>
      </c>
      <c r="B416" t="s">
        <v>254</v>
      </c>
      <c r="C416" t="s">
        <v>140</v>
      </c>
      <c r="D416" s="1" t="s">
        <v>475</v>
      </c>
      <c r="F416" t="s">
        <v>465</v>
      </c>
      <c r="H416" t="s">
        <v>314</v>
      </c>
      <c r="I416">
        <v>15093612</v>
      </c>
      <c r="J416">
        <v>11939405</v>
      </c>
      <c r="K416" s="3">
        <v>0.79100000000000004</v>
      </c>
    </row>
    <row r="417" spans="1:11" x14ac:dyDescent="0.3">
      <c r="A417" t="s">
        <v>515</v>
      </c>
      <c r="B417" t="s">
        <v>254</v>
      </c>
      <c r="C417" t="s">
        <v>140</v>
      </c>
      <c r="D417" s="1" t="s">
        <v>475</v>
      </c>
      <c r="F417" t="s">
        <v>373</v>
      </c>
      <c r="H417" t="s">
        <v>314</v>
      </c>
      <c r="I417">
        <v>16914052</v>
      </c>
      <c r="J417">
        <v>13397009</v>
      </c>
      <c r="K417" s="3">
        <v>0.79200000000000004</v>
      </c>
    </row>
    <row r="418" spans="1:11" x14ac:dyDescent="0.3">
      <c r="A418" t="s">
        <v>515</v>
      </c>
      <c r="B418" t="s">
        <v>254</v>
      </c>
      <c r="C418" t="s">
        <v>140</v>
      </c>
      <c r="D418" s="1" t="s">
        <v>475</v>
      </c>
      <c r="F418" t="s">
        <v>374</v>
      </c>
      <c r="H418" t="s">
        <v>314</v>
      </c>
      <c r="I418">
        <v>17707788</v>
      </c>
      <c r="J418">
        <v>14019727</v>
      </c>
      <c r="K418" s="3">
        <v>0.79200000000000004</v>
      </c>
    </row>
    <row r="419" spans="1:11" x14ac:dyDescent="0.3">
      <c r="A419" t="s">
        <v>515</v>
      </c>
      <c r="B419" t="s">
        <v>254</v>
      </c>
      <c r="C419" t="s">
        <v>140</v>
      </c>
      <c r="D419" s="1" t="s">
        <v>475</v>
      </c>
      <c r="F419" t="s">
        <v>463</v>
      </c>
      <c r="H419" t="s">
        <v>314</v>
      </c>
      <c r="I419">
        <v>25749722</v>
      </c>
      <c r="J419">
        <v>20395477</v>
      </c>
      <c r="K419" s="3">
        <v>0.79200000000000004</v>
      </c>
    </row>
    <row r="420" spans="1:11" x14ac:dyDescent="0.3">
      <c r="A420" t="s">
        <v>515</v>
      </c>
      <c r="B420" t="s">
        <v>254</v>
      </c>
      <c r="C420" t="s">
        <v>140</v>
      </c>
      <c r="D420" s="1" t="s">
        <v>475</v>
      </c>
      <c r="F420" t="s">
        <v>439</v>
      </c>
      <c r="H420" t="s">
        <v>314</v>
      </c>
      <c r="I420">
        <v>25708423</v>
      </c>
      <c r="J420">
        <v>20389688</v>
      </c>
      <c r="K420" s="3">
        <v>0.79300000000000004</v>
      </c>
    </row>
    <row r="421" spans="1:11" x14ac:dyDescent="0.3">
      <c r="A421" t="s">
        <v>515</v>
      </c>
      <c r="B421" t="s">
        <v>254</v>
      </c>
      <c r="C421" t="s">
        <v>140</v>
      </c>
      <c r="D421" s="1" t="s">
        <v>475</v>
      </c>
      <c r="F421" t="s">
        <v>455</v>
      </c>
      <c r="H421" t="s">
        <v>314</v>
      </c>
      <c r="I421">
        <v>21898700</v>
      </c>
      <c r="J421">
        <v>17361792</v>
      </c>
      <c r="K421" s="3">
        <v>0.79300000000000004</v>
      </c>
    </row>
    <row r="422" spans="1:11" x14ac:dyDescent="0.3">
      <c r="A422" t="s">
        <v>515</v>
      </c>
      <c r="B422" t="s">
        <v>254</v>
      </c>
      <c r="C422" t="s">
        <v>140</v>
      </c>
      <c r="D422" s="1" t="s">
        <v>475</v>
      </c>
      <c r="F422" t="s">
        <v>391</v>
      </c>
      <c r="H422" t="s">
        <v>314</v>
      </c>
      <c r="I422">
        <v>39519849</v>
      </c>
      <c r="J422">
        <v>31387743</v>
      </c>
      <c r="K422" s="3">
        <v>0.79400000000000004</v>
      </c>
    </row>
    <row r="423" spans="1:11" x14ac:dyDescent="0.3">
      <c r="A423" t="s">
        <v>515</v>
      </c>
      <c r="B423" t="s">
        <v>254</v>
      </c>
      <c r="C423" t="s">
        <v>140</v>
      </c>
      <c r="D423" s="1" t="s">
        <v>475</v>
      </c>
      <c r="F423" t="s">
        <v>446</v>
      </c>
      <c r="H423" t="s">
        <v>314</v>
      </c>
      <c r="I423">
        <v>18318501</v>
      </c>
      <c r="J423">
        <v>14556695</v>
      </c>
      <c r="K423" s="3">
        <v>0.79500000000000004</v>
      </c>
    </row>
    <row r="424" spans="1:11" x14ac:dyDescent="0.3">
      <c r="A424" t="s">
        <v>515</v>
      </c>
      <c r="B424" t="s">
        <v>254</v>
      </c>
      <c r="C424" t="s">
        <v>140</v>
      </c>
      <c r="D424" s="1" t="s">
        <v>475</v>
      </c>
      <c r="F424" t="s">
        <v>474</v>
      </c>
      <c r="H424" t="s">
        <v>314</v>
      </c>
      <c r="I424">
        <v>23579849</v>
      </c>
      <c r="J424">
        <v>18763961</v>
      </c>
      <c r="K424" s="3">
        <v>0.79600000000000004</v>
      </c>
    </row>
    <row r="425" spans="1:11" x14ac:dyDescent="0.3">
      <c r="A425" t="s">
        <v>515</v>
      </c>
      <c r="B425" t="s">
        <v>254</v>
      </c>
      <c r="C425" t="s">
        <v>140</v>
      </c>
      <c r="D425" s="1" t="s">
        <v>475</v>
      </c>
      <c r="F425" t="s">
        <v>444</v>
      </c>
      <c r="H425" t="s">
        <v>314</v>
      </c>
      <c r="I425">
        <v>20115881</v>
      </c>
      <c r="J425">
        <v>16064824</v>
      </c>
      <c r="K425" s="3">
        <v>0.79900000000000004</v>
      </c>
    </row>
    <row r="426" spans="1:11" x14ac:dyDescent="0.3">
      <c r="A426" t="s">
        <v>515</v>
      </c>
      <c r="B426" t="s">
        <v>254</v>
      </c>
      <c r="C426" t="s">
        <v>140</v>
      </c>
      <c r="D426" s="1" t="s">
        <v>475</v>
      </c>
      <c r="F426" t="s">
        <v>402</v>
      </c>
      <c r="H426" t="s">
        <v>314</v>
      </c>
      <c r="I426">
        <v>37417612</v>
      </c>
      <c r="J426">
        <v>29936594</v>
      </c>
      <c r="K426" s="3">
        <v>0.8</v>
      </c>
    </row>
    <row r="427" spans="1:11" x14ac:dyDescent="0.3">
      <c r="A427" t="s">
        <v>515</v>
      </c>
      <c r="B427" t="s">
        <v>254</v>
      </c>
      <c r="C427" t="s">
        <v>140</v>
      </c>
      <c r="D427" s="1" t="s">
        <v>475</v>
      </c>
      <c r="F427" t="s">
        <v>473</v>
      </c>
      <c r="H427" t="s">
        <v>314</v>
      </c>
      <c r="I427">
        <v>33171804</v>
      </c>
      <c r="J427">
        <v>26541748</v>
      </c>
      <c r="K427" s="3">
        <v>0.8</v>
      </c>
    </row>
    <row r="428" spans="1:11" x14ac:dyDescent="0.3">
      <c r="A428" t="s">
        <v>515</v>
      </c>
      <c r="B428" t="s">
        <v>254</v>
      </c>
      <c r="C428" t="s">
        <v>140</v>
      </c>
      <c r="D428" s="1" t="s">
        <v>475</v>
      </c>
      <c r="F428" t="s">
        <v>367</v>
      </c>
      <c r="H428" t="s">
        <v>314</v>
      </c>
      <c r="I428">
        <v>17272986</v>
      </c>
      <c r="J428">
        <v>13842520</v>
      </c>
      <c r="K428" s="3">
        <v>0.80100000000000005</v>
      </c>
    </row>
    <row r="429" spans="1:11" x14ac:dyDescent="0.3">
      <c r="A429" t="s">
        <v>515</v>
      </c>
      <c r="B429" t="s">
        <v>254</v>
      </c>
      <c r="C429" t="s">
        <v>140</v>
      </c>
      <c r="D429" s="1" t="s">
        <v>475</v>
      </c>
      <c r="F429" t="s">
        <v>375</v>
      </c>
      <c r="H429" t="s">
        <v>314</v>
      </c>
      <c r="I429">
        <v>18632579</v>
      </c>
      <c r="J429">
        <v>14916756</v>
      </c>
      <c r="K429" s="3">
        <v>0.80100000000000005</v>
      </c>
    </row>
    <row r="430" spans="1:11" x14ac:dyDescent="0.3">
      <c r="A430" t="s">
        <v>515</v>
      </c>
      <c r="B430" t="s">
        <v>254</v>
      </c>
      <c r="C430" t="s">
        <v>140</v>
      </c>
      <c r="D430" s="1" t="s">
        <v>475</v>
      </c>
      <c r="F430" t="s">
        <v>390</v>
      </c>
      <c r="H430" t="s">
        <v>314</v>
      </c>
      <c r="I430">
        <v>33586987</v>
      </c>
      <c r="J430">
        <v>26896177</v>
      </c>
      <c r="K430" s="3">
        <v>0.80100000000000005</v>
      </c>
    </row>
    <row r="431" spans="1:11" x14ac:dyDescent="0.3">
      <c r="A431" t="s">
        <v>515</v>
      </c>
      <c r="B431" t="s">
        <v>254</v>
      </c>
      <c r="C431" t="s">
        <v>140</v>
      </c>
      <c r="D431" s="1" t="s">
        <v>475</v>
      </c>
      <c r="F431" t="s">
        <v>441</v>
      </c>
      <c r="H431" t="s">
        <v>314</v>
      </c>
      <c r="I431">
        <v>27862153</v>
      </c>
      <c r="J431">
        <v>22317461</v>
      </c>
      <c r="K431" s="3">
        <v>0.80100000000000005</v>
      </c>
    </row>
    <row r="432" spans="1:11" x14ac:dyDescent="0.3">
      <c r="A432" t="s">
        <v>515</v>
      </c>
      <c r="B432" t="s">
        <v>254</v>
      </c>
      <c r="C432" t="s">
        <v>140</v>
      </c>
      <c r="D432" s="1" t="s">
        <v>475</v>
      </c>
      <c r="F432" t="s">
        <v>452</v>
      </c>
      <c r="H432" t="s">
        <v>314</v>
      </c>
      <c r="I432">
        <v>22929777</v>
      </c>
      <c r="J432">
        <v>18364947</v>
      </c>
      <c r="K432" s="3">
        <v>0.80100000000000005</v>
      </c>
    </row>
    <row r="433" spans="1:11" x14ac:dyDescent="0.3">
      <c r="A433" t="s">
        <v>515</v>
      </c>
      <c r="B433" t="s">
        <v>254</v>
      </c>
      <c r="C433" t="s">
        <v>140</v>
      </c>
      <c r="D433" s="1" t="s">
        <v>475</v>
      </c>
      <c r="F433" t="s">
        <v>376</v>
      </c>
      <c r="H433" t="s">
        <v>314</v>
      </c>
      <c r="I433">
        <v>18512128</v>
      </c>
      <c r="J433">
        <v>14851512</v>
      </c>
      <c r="K433" s="3">
        <v>0.80200000000000005</v>
      </c>
    </row>
    <row r="434" spans="1:11" x14ac:dyDescent="0.3">
      <c r="A434" t="s">
        <v>515</v>
      </c>
      <c r="B434" t="s">
        <v>254</v>
      </c>
      <c r="C434" t="s">
        <v>140</v>
      </c>
      <c r="D434" s="1" t="s">
        <v>475</v>
      </c>
      <c r="F434" t="s">
        <v>442</v>
      </c>
      <c r="H434" t="s">
        <v>314</v>
      </c>
      <c r="I434">
        <v>18043400</v>
      </c>
      <c r="J434">
        <v>14473381</v>
      </c>
      <c r="K434" s="3">
        <v>0.80200000000000005</v>
      </c>
    </row>
    <row r="435" spans="1:11" x14ac:dyDescent="0.3">
      <c r="A435" t="s">
        <v>515</v>
      </c>
      <c r="B435" t="s">
        <v>254</v>
      </c>
      <c r="C435" t="s">
        <v>140</v>
      </c>
      <c r="D435" s="1" t="s">
        <v>475</v>
      </c>
      <c r="F435" t="s">
        <v>406</v>
      </c>
      <c r="H435" t="s">
        <v>314</v>
      </c>
      <c r="I435">
        <v>36924206</v>
      </c>
      <c r="J435">
        <v>29653538</v>
      </c>
      <c r="K435" s="3">
        <v>0.80300000000000005</v>
      </c>
    </row>
    <row r="436" spans="1:11" x14ac:dyDescent="0.3">
      <c r="A436" t="s">
        <v>515</v>
      </c>
      <c r="B436" t="s">
        <v>254</v>
      </c>
      <c r="C436" t="s">
        <v>140</v>
      </c>
      <c r="D436" s="1" t="s">
        <v>475</v>
      </c>
      <c r="F436" t="s">
        <v>471</v>
      </c>
      <c r="H436" t="s">
        <v>314</v>
      </c>
      <c r="I436">
        <v>23370074</v>
      </c>
      <c r="J436">
        <v>18773833</v>
      </c>
      <c r="K436" s="3">
        <v>0.80300000000000005</v>
      </c>
    </row>
    <row r="437" spans="1:11" x14ac:dyDescent="0.3">
      <c r="A437" t="s">
        <v>515</v>
      </c>
      <c r="B437" t="s">
        <v>254</v>
      </c>
      <c r="C437" t="s">
        <v>140</v>
      </c>
      <c r="D437" s="1" t="s">
        <v>475</v>
      </c>
      <c r="F437" t="s">
        <v>366</v>
      </c>
      <c r="H437" t="s">
        <v>314</v>
      </c>
      <c r="I437">
        <v>311390974</v>
      </c>
      <c r="J437">
        <v>250251829</v>
      </c>
      <c r="K437" s="3">
        <v>0.80400000000000005</v>
      </c>
    </row>
    <row r="438" spans="1:11" x14ac:dyDescent="0.3">
      <c r="A438" t="s">
        <v>515</v>
      </c>
      <c r="B438" t="s">
        <v>254</v>
      </c>
      <c r="C438" t="s">
        <v>140</v>
      </c>
      <c r="D438" s="1" t="s">
        <v>475</v>
      </c>
      <c r="F438" t="s">
        <v>377</v>
      </c>
      <c r="H438" t="s">
        <v>314</v>
      </c>
      <c r="I438">
        <v>18754272</v>
      </c>
      <c r="J438">
        <v>15084118</v>
      </c>
      <c r="K438" s="3">
        <v>0.80400000000000005</v>
      </c>
    </row>
    <row r="439" spans="1:11" x14ac:dyDescent="0.3">
      <c r="A439" t="s">
        <v>515</v>
      </c>
      <c r="B439" t="s">
        <v>254</v>
      </c>
      <c r="C439" t="s">
        <v>140</v>
      </c>
      <c r="D439" s="1" t="s">
        <v>475</v>
      </c>
      <c r="F439" t="s">
        <v>379</v>
      </c>
      <c r="H439" t="s">
        <v>314</v>
      </c>
      <c r="I439">
        <v>17502988</v>
      </c>
      <c r="J439">
        <v>14073433</v>
      </c>
      <c r="K439" s="3">
        <v>0.80400000000000005</v>
      </c>
    </row>
    <row r="440" spans="1:11" x14ac:dyDescent="0.3">
      <c r="A440" t="s">
        <v>515</v>
      </c>
      <c r="B440" t="s">
        <v>254</v>
      </c>
      <c r="C440" t="s">
        <v>140</v>
      </c>
      <c r="D440" s="1" t="s">
        <v>475</v>
      </c>
      <c r="F440" t="s">
        <v>395</v>
      </c>
      <c r="H440" t="s">
        <v>314</v>
      </c>
      <c r="I440">
        <v>40971123</v>
      </c>
      <c r="J440">
        <v>32961291</v>
      </c>
      <c r="K440" s="3">
        <v>0.80500000000000005</v>
      </c>
    </row>
    <row r="441" spans="1:11" x14ac:dyDescent="0.3">
      <c r="A441" t="s">
        <v>515</v>
      </c>
      <c r="B441" t="s">
        <v>254</v>
      </c>
      <c r="C441" t="s">
        <v>140</v>
      </c>
      <c r="D441" s="1" t="s">
        <v>475</v>
      </c>
      <c r="F441" t="s">
        <v>405</v>
      </c>
      <c r="H441" t="s">
        <v>314</v>
      </c>
      <c r="I441">
        <v>36532902</v>
      </c>
      <c r="J441">
        <v>29402660</v>
      </c>
      <c r="K441" s="3">
        <v>0.80500000000000005</v>
      </c>
    </row>
    <row r="442" spans="1:11" x14ac:dyDescent="0.3">
      <c r="A442" t="s">
        <v>515</v>
      </c>
      <c r="B442" t="s">
        <v>254</v>
      </c>
      <c r="C442" t="s">
        <v>140</v>
      </c>
      <c r="D442" s="1" t="s">
        <v>475</v>
      </c>
      <c r="F442" t="s">
        <v>449</v>
      </c>
      <c r="H442" t="s">
        <v>314</v>
      </c>
      <c r="I442">
        <v>17726193</v>
      </c>
      <c r="J442">
        <v>14284645</v>
      </c>
      <c r="K442" s="3">
        <v>0.80600000000000005</v>
      </c>
    </row>
    <row r="443" spans="1:11" x14ac:dyDescent="0.3">
      <c r="A443" t="s">
        <v>515</v>
      </c>
      <c r="B443" t="s">
        <v>254</v>
      </c>
      <c r="C443" t="s">
        <v>140</v>
      </c>
      <c r="D443" s="1" t="s">
        <v>475</v>
      </c>
      <c r="F443" t="s">
        <v>400</v>
      </c>
      <c r="H443" t="s">
        <v>314</v>
      </c>
      <c r="I443">
        <v>35221196</v>
      </c>
      <c r="J443">
        <v>28435676</v>
      </c>
      <c r="K443" s="3">
        <v>0.80700000000000005</v>
      </c>
    </row>
    <row r="444" spans="1:11" x14ac:dyDescent="0.3">
      <c r="A444" t="s">
        <v>515</v>
      </c>
      <c r="B444" t="s">
        <v>254</v>
      </c>
      <c r="C444" t="s">
        <v>140</v>
      </c>
      <c r="D444" s="1" t="s">
        <v>475</v>
      </c>
      <c r="F444" t="s">
        <v>424</v>
      </c>
      <c r="H444" t="s">
        <v>314</v>
      </c>
      <c r="I444">
        <v>39432807</v>
      </c>
      <c r="J444">
        <v>31805921</v>
      </c>
      <c r="K444" s="3">
        <v>0.80700000000000005</v>
      </c>
    </row>
    <row r="445" spans="1:11" x14ac:dyDescent="0.3">
      <c r="A445" t="s">
        <v>515</v>
      </c>
      <c r="B445" t="s">
        <v>254</v>
      </c>
      <c r="C445" t="s">
        <v>140</v>
      </c>
      <c r="D445" s="1" t="s">
        <v>475</v>
      </c>
      <c r="F445" t="s">
        <v>469</v>
      </c>
      <c r="H445" t="s">
        <v>314</v>
      </c>
      <c r="I445">
        <v>26715187</v>
      </c>
      <c r="J445">
        <v>21546248</v>
      </c>
      <c r="K445" s="3">
        <v>0.80700000000000005</v>
      </c>
    </row>
    <row r="446" spans="1:11" x14ac:dyDescent="0.3">
      <c r="A446" t="s">
        <v>515</v>
      </c>
      <c r="B446" t="s">
        <v>254</v>
      </c>
      <c r="C446" t="s">
        <v>140</v>
      </c>
      <c r="D446" s="1" t="s">
        <v>475</v>
      </c>
      <c r="F446" t="s">
        <v>365</v>
      </c>
      <c r="H446" t="s">
        <v>314</v>
      </c>
      <c r="I446">
        <v>264527611</v>
      </c>
      <c r="J446">
        <v>213626077</v>
      </c>
      <c r="K446" s="3">
        <v>0.80800000000000005</v>
      </c>
    </row>
    <row r="447" spans="1:11" x14ac:dyDescent="0.3">
      <c r="A447" t="s">
        <v>515</v>
      </c>
      <c r="B447" t="s">
        <v>254</v>
      </c>
      <c r="C447" t="s">
        <v>140</v>
      </c>
      <c r="D447" s="1" t="s">
        <v>475</v>
      </c>
      <c r="F447" t="s">
        <v>371</v>
      </c>
      <c r="H447" t="s">
        <v>314</v>
      </c>
      <c r="I447">
        <v>16270515</v>
      </c>
      <c r="J447">
        <v>13168768</v>
      </c>
      <c r="K447" s="3">
        <v>0.80900000000000005</v>
      </c>
    </row>
    <row r="448" spans="1:11" x14ac:dyDescent="0.3">
      <c r="A448" t="s">
        <v>515</v>
      </c>
      <c r="B448" t="s">
        <v>254</v>
      </c>
      <c r="C448" t="s">
        <v>140</v>
      </c>
      <c r="D448" s="1" t="s">
        <v>475</v>
      </c>
      <c r="F448" t="s">
        <v>380</v>
      </c>
      <c r="H448" t="s">
        <v>314</v>
      </c>
      <c r="I448">
        <v>16849892</v>
      </c>
      <c r="J448">
        <v>13631760</v>
      </c>
      <c r="K448" s="3">
        <v>0.80900000000000005</v>
      </c>
    </row>
    <row r="449" spans="1:11" x14ac:dyDescent="0.3">
      <c r="A449" t="s">
        <v>515</v>
      </c>
      <c r="B449" t="s">
        <v>254</v>
      </c>
      <c r="C449" t="s">
        <v>140</v>
      </c>
      <c r="D449" s="1" t="s">
        <v>475</v>
      </c>
      <c r="F449" t="s">
        <v>415</v>
      </c>
      <c r="H449" t="s">
        <v>314</v>
      </c>
      <c r="I449">
        <v>39190557</v>
      </c>
      <c r="J449">
        <v>31699611</v>
      </c>
      <c r="K449" s="3">
        <v>0.80900000000000005</v>
      </c>
    </row>
    <row r="450" spans="1:11" x14ac:dyDescent="0.3">
      <c r="A450" t="s">
        <v>515</v>
      </c>
      <c r="B450" t="s">
        <v>254</v>
      </c>
      <c r="C450" t="s">
        <v>140</v>
      </c>
      <c r="D450" s="1" t="s">
        <v>475</v>
      </c>
      <c r="F450" t="s">
        <v>440</v>
      </c>
      <c r="H450" t="s">
        <v>314</v>
      </c>
      <c r="I450">
        <v>25472911</v>
      </c>
      <c r="J450">
        <v>20619219</v>
      </c>
      <c r="K450" s="3">
        <v>0.80900000000000005</v>
      </c>
    </row>
    <row r="451" spans="1:11" x14ac:dyDescent="0.3">
      <c r="A451" t="s">
        <v>515</v>
      </c>
      <c r="B451" t="s">
        <v>254</v>
      </c>
      <c r="C451" t="s">
        <v>140</v>
      </c>
      <c r="D451" s="1" t="s">
        <v>475</v>
      </c>
      <c r="F451" t="s">
        <v>462</v>
      </c>
      <c r="H451" t="s">
        <v>314</v>
      </c>
      <c r="I451">
        <v>20782508</v>
      </c>
      <c r="J451">
        <v>16807751</v>
      </c>
      <c r="K451" s="3">
        <v>0.80900000000000005</v>
      </c>
    </row>
    <row r="452" spans="1:11" x14ac:dyDescent="0.3">
      <c r="A452" t="s">
        <v>515</v>
      </c>
      <c r="B452" t="s">
        <v>254</v>
      </c>
      <c r="C452" t="s">
        <v>140</v>
      </c>
      <c r="D452" s="1" t="s">
        <v>475</v>
      </c>
      <c r="F452" t="s">
        <v>417</v>
      </c>
      <c r="H452" t="s">
        <v>314</v>
      </c>
      <c r="I452">
        <v>38227763</v>
      </c>
      <c r="J452">
        <v>31002566</v>
      </c>
      <c r="K452" s="3">
        <v>0.81100000000000005</v>
      </c>
    </row>
    <row r="453" spans="1:11" x14ac:dyDescent="0.3">
      <c r="A453" t="s">
        <v>515</v>
      </c>
      <c r="B453" t="s">
        <v>254</v>
      </c>
      <c r="C453" t="s">
        <v>140</v>
      </c>
      <c r="D453" s="1" t="s">
        <v>475</v>
      </c>
      <c r="F453" t="s">
        <v>464</v>
      </c>
      <c r="H453" t="s">
        <v>314</v>
      </c>
      <c r="I453">
        <v>15913325</v>
      </c>
      <c r="J453">
        <v>12916775</v>
      </c>
      <c r="K453" s="3">
        <v>0.81200000000000006</v>
      </c>
    </row>
    <row r="454" spans="1:11" x14ac:dyDescent="0.3">
      <c r="A454" t="s">
        <v>515</v>
      </c>
      <c r="B454" t="s">
        <v>254</v>
      </c>
      <c r="C454" t="s">
        <v>140</v>
      </c>
      <c r="D454" s="1" t="s">
        <v>475</v>
      </c>
      <c r="F454" t="s">
        <v>368</v>
      </c>
      <c r="H454" t="s">
        <v>314</v>
      </c>
      <c r="I454">
        <v>19532767</v>
      </c>
      <c r="J454">
        <v>15881166</v>
      </c>
      <c r="K454" s="3">
        <v>0.81299999999999994</v>
      </c>
    </row>
    <row r="455" spans="1:11" x14ac:dyDescent="0.3">
      <c r="A455" t="s">
        <v>515</v>
      </c>
      <c r="B455" t="s">
        <v>254</v>
      </c>
      <c r="C455" t="s">
        <v>140</v>
      </c>
      <c r="D455" s="1" t="s">
        <v>475</v>
      </c>
      <c r="F455" t="s">
        <v>419</v>
      </c>
      <c r="H455" t="s">
        <v>314</v>
      </c>
      <c r="I455">
        <v>36435879</v>
      </c>
      <c r="J455">
        <v>29641162</v>
      </c>
      <c r="K455" s="3">
        <v>0.81399999999999995</v>
      </c>
    </row>
    <row r="456" spans="1:11" x14ac:dyDescent="0.3">
      <c r="A456" t="s">
        <v>515</v>
      </c>
      <c r="B456" t="s">
        <v>254</v>
      </c>
      <c r="C456" t="s">
        <v>140</v>
      </c>
      <c r="D456" s="1" t="s">
        <v>475</v>
      </c>
      <c r="F456" t="s">
        <v>364</v>
      </c>
      <c r="H456" t="s">
        <v>314</v>
      </c>
      <c r="I456">
        <v>27250039</v>
      </c>
      <c r="J456">
        <v>22214411</v>
      </c>
      <c r="K456" s="3">
        <v>0.81499999999999995</v>
      </c>
    </row>
    <row r="457" spans="1:11" x14ac:dyDescent="0.3">
      <c r="A457" t="s">
        <v>515</v>
      </c>
      <c r="B457" t="s">
        <v>254</v>
      </c>
      <c r="C457" t="s">
        <v>140</v>
      </c>
      <c r="D457" s="1" t="s">
        <v>475</v>
      </c>
      <c r="F457" t="s">
        <v>393</v>
      </c>
      <c r="H457" t="s">
        <v>314</v>
      </c>
      <c r="I457">
        <v>46161134</v>
      </c>
      <c r="J457">
        <v>37613402</v>
      </c>
      <c r="K457" s="3">
        <v>0.81499999999999995</v>
      </c>
    </row>
    <row r="458" spans="1:11" x14ac:dyDescent="0.3">
      <c r="A458" t="s">
        <v>515</v>
      </c>
      <c r="B458" t="s">
        <v>254</v>
      </c>
      <c r="C458" t="s">
        <v>140</v>
      </c>
      <c r="D458" s="1" t="s">
        <v>475</v>
      </c>
      <c r="F458" t="s">
        <v>458</v>
      </c>
      <c r="H458" t="s">
        <v>314</v>
      </c>
      <c r="I458">
        <v>24869942</v>
      </c>
      <c r="J458">
        <v>20276696</v>
      </c>
      <c r="K458" s="3">
        <v>0.81499999999999995</v>
      </c>
    </row>
    <row r="459" spans="1:11" x14ac:dyDescent="0.3">
      <c r="A459" t="s">
        <v>515</v>
      </c>
      <c r="B459" t="s">
        <v>254</v>
      </c>
      <c r="C459" t="s">
        <v>140</v>
      </c>
      <c r="D459" s="1" t="s">
        <v>475</v>
      </c>
      <c r="F459" t="s">
        <v>470</v>
      </c>
      <c r="H459" t="s">
        <v>314</v>
      </c>
      <c r="I459">
        <v>23620773</v>
      </c>
      <c r="J459">
        <v>19239289</v>
      </c>
      <c r="K459" s="3">
        <v>0.81499999999999995</v>
      </c>
    </row>
    <row r="460" spans="1:11" x14ac:dyDescent="0.3">
      <c r="A460" t="s">
        <v>515</v>
      </c>
      <c r="B460" t="s">
        <v>254</v>
      </c>
      <c r="C460" t="s">
        <v>140</v>
      </c>
      <c r="D460" s="1" t="s">
        <v>475</v>
      </c>
      <c r="F460" t="s">
        <v>422</v>
      </c>
      <c r="H460" t="s">
        <v>314</v>
      </c>
      <c r="I460">
        <v>38939226</v>
      </c>
      <c r="J460">
        <v>31755320</v>
      </c>
      <c r="K460" s="3">
        <v>0.81599999999999995</v>
      </c>
    </row>
    <row r="461" spans="1:11" x14ac:dyDescent="0.3">
      <c r="A461" t="s">
        <v>515</v>
      </c>
      <c r="B461" t="s">
        <v>254</v>
      </c>
      <c r="C461" t="s">
        <v>140</v>
      </c>
      <c r="D461" s="1" t="s">
        <v>475</v>
      </c>
      <c r="F461" t="s">
        <v>423</v>
      </c>
      <c r="H461" t="s">
        <v>314</v>
      </c>
      <c r="I461">
        <v>38939226</v>
      </c>
      <c r="J461">
        <v>31755320</v>
      </c>
      <c r="K461" s="3">
        <v>0.81599999999999995</v>
      </c>
    </row>
    <row r="462" spans="1:11" x14ac:dyDescent="0.3">
      <c r="A462" t="s">
        <v>515</v>
      </c>
      <c r="B462" t="s">
        <v>254</v>
      </c>
      <c r="C462" t="s">
        <v>140</v>
      </c>
      <c r="D462" s="1" t="s">
        <v>475</v>
      </c>
      <c r="F462" t="s">
        <v>450</v>
      </c>
      <c r="H462" t="s">
        <v>314</v>
      </c>
      <c r="I462">
        <v>22719257</v>
      </c>
      <c r="J462">
        <v>18541773</v>
      </c>
      <c r="K462" s="3">
        <v>0.81599999999999995</v>
      </c>
    </row>
    <row r="463" spans="1:11" x14ac:dyDescent="0.3">
      <c r="A463" t="s">
        <v>515</v>
      </c>
      <c r="B463" t="s">
        <v>254</v>
      </c>
      <c r="C463" t="s">
        <v>140</v>
      </c>
      <c r="D463" s="1" t="s">
        <v>475</v>
      </c>
      <c r="F463" t="s">
        <v>459</v>
      </c>
      <c r="H463" t="s">
        <v>314</v>
      </c>
      <c r="I463">
        <v>26081198</v>
      </c>
      <c r="J463">
        <v>21305423</v>
      </c>
      <c r="K463" s="3">
        <v>0.81699999999999995</v>
      </c>
    </row>
    <row r="464" spans="1:11" x14ac:dyDescent="0.3">
      <c r="A464" t="s">
        <v>515</v>
      </c>
      <c r="B464" t="s">
        <v>254</v>
      </c>
      <c r="C464" t="s">
        <v>140</v>
      </c>
      <c r="D464" s="1" t="s">
        <v>475</v>
      </c>
      <c r="F464" t="s">
        <v>466</v>
      </c>
      <c r="H464" t="s">
        <v>314</v>
      </c>
      <c r="I464">
        <v>17739899</v>
      </c>
      <c r="J464">
        <v>14485829</v>
      </c>
      <c r="K464" s="3">
        <v>0.81699999999999995</v>
      </c>
    </row>
    <row r="465" spans="1:11" x14ac:dyDescent="0.3">
      <c r="A465" t="s">
        <v>515</v>
      </c>
      <c r="B465" t="s">
        <v>254</v>
      </c>
      <c r="C465" t="s">
        <v>140</v>
      </c>
      <c r="D465" s="1" t="s">
        <v>475</v>
      </c>
      <c r="F465" t="s">
        <v>468</v>
      </c>
      <c r="H465" t="s">
        <v>314</v>
      </c>
      <c r="I465">
        <v>13758099</v>
      </c>
      <c r="J465">
        <v>11239759</v>
      </c>
      <c r="K465" s="3">
        <v>0.81699999999999995</v>
      </c>
    </row>
    <row r="466" spans="1:11" x14ac:dyDescent="0.3">
      <c r="A466" t="s">
        <v>515</v>
      </c>
      <c r="B466" t="s">
        <v>254</v>
      </c>
      <c r="C466" t="s">
        <v>140</v>
      </c>
      <c r="D466" s="1" t="s">
        <v>475</v>
      </c>
      <c r="F466" t="s">
        <v>404</v>
      </c>
      <c r="H466" t="s">
        <v>314</v>
      </c>
      <c r="I466">
        <v>35096795</v>
      </c>
      <c r="J466">
        <v>28699653</v>
      </c>
      <c r="K466" s="3">
        <v>0.81799999999999995</v>
      </c>
    </row>
    <row r="467" spans="1:11" x14ac:dyDescent="0.3">
      <c r="A467" t="s">
        <v>515</v>
      </c>
      <c r="B467" t="s">
        <v>254</v>
      </c>
      <c r="C467" t="s">
        <v>140</v>
      </c>
      <c r="D467" s="1" t="s">
        <v>475</v>
      </c>
      <c r="F467" t="s">
        <v>432</v>
      </c>
      <c r="H467" t="s">
        <v>314</v>
      </c>
      <c r="I467">
        <v>48915800</v>
      </c>
      <c r="J467">
        <v>40009978</v>
      </c>
      <c r="K467" s="3">
        <v>0.81799999999999995</v>
      </c>
    </row>
    <row r="468" spans="1:11" x14ac:dyDescent="0.3">
      <c r="A468" t="s">
        <v>515</v>
      </c>
      <c r="B468" t="s">
        <v>254</v>
      </c>
      <c r="C468" t="s">
        <v>140</v>
      </c>
      <c r="D468" s="1" t="s">
        <v>475</v>
      </c>
      <c r="F468" t="s">
        <v>396</v>
      </c>
      <c r="H468" t="s">
        <v>314</v>
      </c>
      <c r="I468">
        <v>35990377</v>
      </c>
      <c r="J468">
        <v>29474864</v>
      </c>
      <c r="K468" s="3">
        <v>0.81899999999999995</v>
      </c>
    </row>
    <row r="469" spans="1:11" x14ac:dyDescent="0.3">
      <c r="A469" t="s">
        <v>515</v>
      </c>
      <c r="B469" t="s">
        <v>254</v>
      </c>
      <c r="C469" t="s">
        <v>140</v>
      </c>
      <c r="D469" s="1" t="s">
        <v>475</v>
      </c>
      <c r="F469" t="s">
        <v>420</v>
      </c>
      <c r="H469" t="s">
        <v>314</v>
      </c>
      <c r="I469">
        <v>32577100</v>
      </c>
      <c r="J469">
        <v>26676986</v>
      </c>
      <c r="K469" s="3">
        <v>0.81899999999999995</v>
      </c>
    </row>
    <row r="470" spans="1:11" x14ac:dyDescent="0.3">
      <c r="A470" t="s">
        <v>515</v>
      </c>
      <c r="B470" t="s">
        <v>254</v>
      </c>
      <c r="C470" t="s">
        <v>140</v>
      </c>
      <c r="D470" s="1" t="s">
        <v>475</v>
      </c>
      <c r="F470" t="s">
        <v>457</v>
      </c>
      <c r="H470" t="s">
        <v>314</v>
      </c>
      <c r="I470">
        <v>25610391</v>
      </c>
      <c r="J470">
        <v>20975677</v>
      </c>
      <c r="K470" s="3">
        <v>0.81899999999999995</v>
      </c>
    </row>
    <row r="471" spans="1:11" x14ac:dyDescent="0.3">
      <c r="A471" t="s">
        <v>515</v>
      </c>
      <c r="B471" t="s">
        <v>254</v>
      </c>
      <c r="C471" t="s">
        <v>140</v>
      </c>
      <c r="D471" s="1" t="s">
        <v>475</v>
      </c>
      <c r="F471" t="s">
        <v>363</v>
      </c>
      <c r="H471" t="s">
        <v>314</v>
      </c>
      <c r="I471">
        <v>35265189</v>
      </c>
      <c r="J471">
        <v>28944858</v>
      </c>
      <c r="K471" s="3">
        <v>0.82099999999999995</v>
      </c>
    </row>
    <row r="472" spans="1:11" x14ac:dyDescent="0.3">
      <c r="A472" t="s">
        <v>515</v>
      </c>
      <c r="B472" t="s">
        <v>254</v>
      </c>
      <c r="C472" t="s">
        <v>140</v>
      </c>
      <c r="D472" s="1" t="s">
        <v>475</v>
      </c>
      <c r="F472" t="s">
        <v>378</v>
      </c>
      <c r="H472" t="s">
        <v>314</v>
      </c>
      <c r="I472">
        <v>17256114</v>
      </c>
      <c r="J472">
        <v>14164537</v>
      </c>
      <c r="K472" s="3">
        <v>0.82099999999999995</v>
      </c>
    </row>
    <row r="473" spans="1:11" x14ac:dyDescent="0.3">
      <c r="A473" t="s">
        <v>515</v>
      </c>
      <c r="B473" t="s">
        <v>254</v>
      </c>
      <c r="C473" t="s">
        <v>140</v>
      </c>
      <c r="D473" s="1" t="s">
        <v>475</v>
      </c>
      <c r="F473" t="s">
        <v>456</v>
      </c>
      <c r="H473" t="s">
        <v>314</v>
      </c>
      <c r="I473">
        <v>24102080</v>
      </c>
      <c r="J473">
        <v>19783766</v>
      </c>
      <c r="K473" s="3">
        <v>0.82099999999999995</v>
      </c>
    </row>
    <row r="474" spans="1:11" x14ac:dyDescent="0.3">
      <c r="A474" t="s">
        <v>515</v>
      </c>
      <c r="B474" t="s">
        <v>254</v>
      </c>
      <c r="C474" t="s">
        <v>140</v>
      </c>
      <c r="D474" s="1" t="s">
        <v>475</v>
      </c>
      <c r="F474" t="s">
        <v>398</v>
      </c>
      <c r="H474" t="s">
        <v>314</v>
      </c>
      <c r="I474">
        <v>37740284</v>
      </c>
      <c r="J474">
        <v>31034264</v>
      </c>
      <c r="K474" s="3">
        <v>0.82199999999999995</v>
      </c>
    </row>
    <row r="475" spans="1:11" x14ac:dyDescent="0.3">
      <c r="A475" t="s">
        <v>515</v>
      </c>
      <c r="B475" t="s">
        <v>254</v>
      </c>
      <c r="C475" t="s">
        <v>140</v>
      </c>
      <c r="D475" s="1" t="s">
        <v>475</v>
      </c>
      <c r="F475" t="s">
        <v>418</v>
      </c>
      <c r="H475" t="s">
        <v>314</v>
      </c>
      <c r="I475">
        <v>39400530</v>
      </c>
      <c r="J475">
        <v>32368718</v>
      </c>
      <c r="K475" s="3">
        <v>0.82199999999999995</v>
      </c>
    </row>
    <row r="476" spans="1:11" x14ac:dyDescent="0.3">
      <c r="A476" t="s">
        <v>515</v>
      </c>
      <c r="B476" t="s">
        <v>254</v>
      </c>
      <c r="C476" t="s">
        <v>140</v>
      </c>
      <c r="D476" s="1" t="s">
        <v>475</v>
      </c>
      <c r="F476" t="s">
        <v>430</v>
      </c>
      <c r="H476" t="s">
        <v>314</v>
      </c>
      <c r="I476">
        <v>47864119</v>
      </c>
      <c r="J476">
        <v>39446001</v>
      </c>
      <c r="K476" s="3">
        <v>0.82399999999999995</v>
      </c>
    </row>
    <row r="477" spans="1:11" x14ac:dyDescent="0.3">
      <c r="A477" t="s">
        <v>515</v>
      </c>
      <c r="B477" t="s">
        <v>254</v>
      </c>
      <c r="C477" t="s">
        <v>140</v>
      </c>
      <c r="D477" s="1" t="s">
        <v>475</v>
      </c>
      <c r="F477" t="s">
        <v>386</v>
      </c>
      <c r="H477" t="s">
        <v>314</v>
      </c>
      <c r="I477">
        <v>39142318</v>
      </c>
      <c r="J477">
        <v>32302508</v>
      </c>
      <c r="K477" s="3">
        <v>0.82499999999999996</v>
      </c>
    </row>
    <row r="478" spans="1:11" x14ac:dyDescent="0.3">
      <c r="A478" t="s">
        <v>515</v>
      </c>
      <c r="B478" t="s">
        <v>254</v>
      </c>
      <c r="C478" t="s">
        <v>140</v>
      </c>
      <c r="D478" s="1" t="s">
        <v>475</v>
      </c>
      <c r="F478" t="s">
        <v>411</v>
      </c>
      <c r="H478" t="s">
        <v>314</v>
      </c>
      <c r="I478">
        <v>36364304</v>
      </c>
      <c r="J478">
        <v>30005481</v>
      </c>
      <c r="K478" s="3">
        <v>0.82499999999999996</v>
      </c>
    </row>
    <row r="479" spans="1:11" x14ac:dyDescent="0.3">
      <c r="A479" t="s">
        <v>515</v>
      </c>
      <c r="B479" t="s">
        <v>254</v>
      </c>
      <c r="C479" t="s">
        <v>140</v>
      </c>
      <c r="D479" s="1" t="s">
        <v>475</v>
      </c>
      <c r="F479" t="s">
        <v>413</v>
      </c>
      <c r="H479" t="s">
        <v>314</v>
      </c>
      <c r="I479">
        <v>37350119</v>
      </c>
      <c r="J479">
        <v>30891878</v>
      </c>
      <c r="K479" s="3">
        <v>0.82699999999999996</v>
      </c>
    </row>
    <row r="480" spans="1:11" x14ac:dyDescent="0.3">
      <c r="A480" t="s">
        <v>515</v>
      </c>
      <c r="B480" t="s">
        <v>254</v>
      </c>
      <c r="C480" t="s">
        <v>140</v>
      </c>
      <c r="D480" s="1" t="s">
        <v>475</v>
      </c>
      <c r="F480" t="s">
        <v>389</v>
      </c>
      <c r="H480" t="s">
        <v>314</v>
      </c>
      <c r="I480">
        <v>40823294</v>
      </c>
      <c r="J480">
        <v>33849956</v>
      </c>
      <c r="K480" s="3">
        <v>0.82899999999999996</v>
      </c>
    </row>
    <row r="481" spans="1:11" x14ac:dyDescent="0.3">
      <c r="A481" t="s">
        <v>515</v>
      </c>
      <c r="B481" t="s">
        <v>254</v>
      </c>
      <c r="C481" t="s">
        <v>140</v>
      </c>
      <c r="D481" s="1" t="s">
        <v>475</v>
      </c>
      <c r="F481" t="s">
        <v>408</v>
      </c>
      <c r="H481" t="s">
        <v>314</v>
      </c>
      <c r="I481">
        <v>38591130</v>
      </c>
      <c r="J481">
        <v>31973703</v>
      </c>
      <c r="K481" s="3">
        <v>0.82899999999999996</v>
      </c>
    </row>
    <row r="482" spans="1:11" x14ac:dyDescent="0.3">
      <c r="A482" t="s">
        <v>515</v>
      </c>
      <c r="B482" t="s">
        <v>254</v>
      </c>
      <c r="C482" t="s">
        <v>140</v>
      </c>
      <c r="D482" s="1" t="s">
        <v>475</v>
      </c>
      <c r="F482" t="s">
        <v>428</v>
      </c>
      <c r="H482" t="s">
        <v>314</v>
      </c>
      <c r="I482">
        <v>37098336</v>
      </c>
      <c r="J482">
        <v>30831303</v>
      </c>
      <c r="K482" s="3">
        <v>0.83099999999999996</v>
      </c>
    </row>
    <row r="483" spans="1:11" x14ac:dyDescent="0.3">
      <c r="A483" t="s">
        <v>515</v>
      </c>
      <c r="B483" t="s">
        <v>254</v>
      </c>
      <c r="C483" t="s">
        <v>140</v>
      </c>
      <c r="D483" s="1" t="s">
        <v>475</v>
      </c>
      <c r="F483" t="s">
        <v>394</v>
      </c>
      <c r="H483" t="s">
        <v>314</v>
      </c>
      <c r="I483">
        <v>39457083</v>
      </c>
      <c r="J483">
        <v>32827132</v>
      </c>
      <c r="K483" s="3">
        <v>0.83199999999999996</v>
      </c>
    </row>
    <row r="484" spans="1:11" x14ac:dyDescent="0.3">
      <c r="A484" t="s">
        <v>515</v>
      </c>
      <c r="B484" t="s">
        <v>254</v>
      </c>
      <c r="C484" t="s">
        <v>140</v>
      </c>
      <c r="D484" s="1" t="s">
        <v>475</v>
      </c>
      <c r="F484" t="s">
        <v>409</v>
      </c>
      <c r="H484" t="s">
        <v>314</v>
      </c>
      <c r="I484">
        <v>39121275</v>
      </c>
      <c r="J484">
        <v>32547406</v>
      </c>
      <c r="K484" s="3">
        <v>0.83199999999999996</v>
      </c>
    </row>
    <row r="485" spans="1:11" x14ac:dyDescent="0.3">
      <c r="A485" t="s">
        <v>515</v>
      </c>
      <c r="B485" t="s">
        <v>254</v>
      </c>
      <c r="C485" t="s">
        <v>140</v>
      </c>
      <c r="D485" s="1" t="s">
        <v>475</v>
      </c>
      <c r="F485" t="s">
        <v>421</v>
      </c>
      <c r="H485" t="s">
        <v>314</v>
      </c>
      <c r="I485">
        <v>34733083</v>
      </c>
      <c r="J485">
        <v>28888648</v>
      </c>
      <c r="K485" s="3">
        <v>0.83199999999999996</v>
      </c>
    </row>
    <row r="486" spans="1:11" x14ac:dyDescent="0.3">
      <c r="A486" t="s">
        <v>515</v>
      </c>
      <c r="B486" t="s">
        <v>254</v>
      </c>
      <c r="C486" t="s">
        <v>140</v>
      </c>
      <c r="D486" s="1" t="s">
        <v>475</v>
      </c>
      <c r="F486" t="s">
        <v>401</v>
      </c>
      <c r="H486" t="s">
        <v>314</v>
      </c>
      <c r="I486">
        <v>34971788</v>
      </c>
      <c r="J486">
        <v>29121189</v>
      </c>
      <c r="K486" s="3">
        <v>0.83299999999999996</v>
      </c>
    </row>
    <row r="487" spans="1:11" x14ac:dyDescent="0.3">
      <c r="A487" t="s">
        <v>515</v>
      </c>
      <c r="B487" t="s">
        <v>254</v>
      </c>
      <c r="C487" t="s">
        <v>140</v>
      </c>
      <c r="D487" s="1" t="s">
        <v>475</v>
      </c>
      <c r="F487" t="s">
        <v>414</v>
      </c>
      <c r="H487" t="s">
        <v>314</v>
      </c>
      <c r="I487">
        <v>39302612</v>
      </c>
      <c r="J487">
        <v>32736068</v>
      </c>
      <c r="K487" s="3">
        <v>0.83299999999999996</v>
      </c>
    </row>
    <row r="488" spans="1:11" x14ac:dyDescent="0.3">
      <c r="A488" t="s">
        <v>515</v>
      </c>
      <c r="B488" t="s">
        <v>254</v>
      </c>
      <c r="C488" t="s">
        <v>140</v>
      </c>
      <c r="D488" s="1" t="s">
        <v>475</v>
      </c>
      <c r="F488" t="s">
        <v>426</v>
      </c>
      <c r="H488" t="s">
        <v>314</v>
      </c>
      <c r="I488">
        <v>40768833</v>
      </c>
      <c r="J488">
        <v>33962403</v>
      </c>
      <c r="K488" s="3">
        <v>0.83299999999999996</v>
      </c>
    </row>
    <row r="489" spans="1:11" x14ac:dyDescent="0.3">
      <c r="A489" t="s">
        <v>515</v>
      </c>
      <c r="B489" t="s">
        <v>254</v>
      </c>
      <c r="C489" t="s">
        <v>140</v>
      </c>
      <c r="D489" s="1" t="s">
        <v>475</v>
      </c>
      <c r="F489" t="s">
        <v>454</v>
      </c>
      <c r="H489" t="s">
        <v>314</v>
      </c>
      <c r="I489">
        <v>30824228</v>
      </c>
      <c r="J489">
        <v>25674614</v>
      </c>
      <c r="K489" s="3">
        <v>0.83299999999999996</v>
      </c>
    </row>
    <row r="490" spans="1:11" x14ac:dyDescent="0.3">
      <c r="A490" t="s">
        <v>515</v>
      </c>
      <c r="B490" t="s">
        <v>254</v>
      </c>
      <c r="C490" t="s">
        <v>140</v>
      </c>
      <c r="D490" s="1" t="s">
        <v>475</v>
      </c>
      <c r="F490" t="s">
        <v>407</v>
      </c>
      <c r="H490" t="s">
        <v>314</v>
      </c>
      <c r="I490">
        <v>36921055</v>
      </c>
      <c r="J490">
        <v>30835399</v>
      </c>
      <c r="K490" s="3">
        <v>0.83499999999999996</v>
      </c>
    </row>
    <row r="491" spans="1:11" x14ac:dyDescent="0.3">
      <c r="A491" t="s">
        <v>515</v>
      </c>
      <c r="B491" t="s">
        <v>254</v>
      </c>
      <c r="C491" t="s">
        <v>140</v>
      </c>
      <c r="D491" s="1" t="s">
        <v>475</v>
      </c>
      <c r="F491" t="s">
        <v>381</v>
      </c>
      <c r="H491" t="s">
        <v>314</v>
      </c>
      <c r="I491">
        <v>32097358</v>
      </c>
      <c r="J491">
        <v>26851180</v>
      </c>
      <c r="K491" s="3">
        <v>0.83699999999999997</v>
      </c>
    </row>
    <row r="492" spans="1:11" x14ac:dyDescent="0.3">
      <c r="A492" t="s">
        <v>515</v>
      </c>
      <c r="B492" t="s">
        <v>254</v>
      </c>
      <c r="C492" t="s">
        <v>140</v>
      </c>
      <c r="D492" s="1" t="s">
        <v>475</v>
      </c>
      <c r="F492" t="s">
        <v>388</v>
      </c>
      <c r="H492" t="s">
        <v>314</v>
      </c>
      <c r="I492">
        <v>34146136</v>
      </c>
      <c r="J492">
        <v>28563610</v>
      </c>
      <c r="K492" s="3">
        <v>0.83699999999999997</v>
      </c>
    </row>
    <row r="493" spans="1:11" x14ac:dyDescent="0.3">
      <c r="A493" t="s">
        <v>515</v>
      </c>
      <c r="B493" t="s">
        <v>254</v>
      </c>
      <c r="C493" t="s">
        <v>140</v>
      </c>
      <c r="D493" s="1" t="s">
        <v>475</v>
      </c>
      <c r="F493" t="s">
        <v>429</v>
      </c>
      <c r="H493" t="s">
        <v>314</v>
      </c>
      <c r="I493">
        <v>40996998</v>
      </c>
      <c r="J493">
        <v>34331380</v>
      </c>
      <c r="K493" s="3">
        <v>0.83699999999999997</v>
      </c>
    </row>
    <row r="494" spans="1:11" x14ac:dyDescent="0.3">
      <c r="A494" t="s">
        <v>515</v>
      </c>
      <c r="B494" t="s">
        <v>254</v>
      </c>
      <c r="C494" t="s">
        <v>140</v>
      </c>
      <c r="D494" s="1" t="s">
        <v>475</v>
      </c>
      <c r="F494" t="s">
        <v>399</v>
      </c>
      <c r="H494" t="s">
        <v>314</v>
      </c>
      <c r="I494">
        <v>36866489</v>
      </c>
      <c r="J494">
        <v>30910847</v>
      </c>
      <c r="K494" s="3">
        <v>0.83799999999999997</v>
      </c>
    </row>
    <row r="495" spans="1:11" x14ac:dyDescent="0.3">
      <c r="A495" t="s">
        <v>515</v>
      </c>
      <c r="B495" t="s">
        <v>254</v>
      </c>
      <c r="C495" t="s">
        <v>140</v>
      </c>
      <c r="D495" s="1" t="s">
        <v>475</v>
      </c>
      <c r="F495" t="s">
        <v>425</v>
      </c>
      <c r="H495" t="s">
        <v>314</v>
      </c>
      <c r="I495">
        <v>42425615</v>
      </c>
      <c r="J495">
        <v>35557040</v>
      </c>
      <c r="K495" s="3">
        <v>0.83799999999999997</v>
      </c>
    </row>
    <row r="496" spans="1:11" x14ac:dyDescent="0.3">
      <c r="A496" t="s">
        <v>515</v>
      </c>
      <c r="B496" t="s">
        <v>254</v>
      </c>
      <c r="C496" t="s">
        <v>140</v>
      </c>
      <c r="D496" s="1" t="s">
        <v>475</v>
      </c>
      <c r="F496" t="s">
        <v>385</v>
      </c>
      <c r="H496" t="s">
        <v>314</v>
      </c>
      <c r="I496">
        <v>38789598</v>
      </c>
      <c r="J496">
        <v>32642343</v>
      </c>
      <c r="K496" s="3">
        <v>0.84199999999999997</v>
      </c>
    </row>
    <row r="497" spans="1:11" x14ac:dyDescent="0.3">
      <c r="A497" t="s">
        <v>515</v>
      </c>
      <c r="B497" t="s">
        <v>254</v>
      </c>
      <c r="C497" t="s">
        <v>140</v>
      </c>
      <c r="D497" s="1" t="s">
        <v>475</v>
      </c>
      <c r="F497" t="s">
        <v>412</v>
      </c>
      <c r="H497" t="s">
        <v>314</v>
      </c>
      <c r="I497">
        <v>40458305</v>
      </c>
      <c r="J497">
        <v>34110157</v>
      </c>
      <c r="K497" s="3">
        <v>0.84299999999999997</v>
      </c>
    </row>
    <row r="498" spans="1:11" x14ac:dyDescent="0.3">
      <c r="A498" t="s">
        <v>515</v>
      </c>
      <c r="B498" t="s">
        <v>254</v>
      </c>
      <c r="C498" t="s">
        <v>140</v>
      </c>
      <c r="D498" s="1" t="s">
        <v>475</v>
      </c>
      <c r="F498" t="s">
        <v>427</v>
      </c>
      <c r="H498" t="s">
        <v>314</v>
      </c>
      <c r="I498">
        <v>39445502</v>
      </c>
      <c r="J498">
        <v>33236288</v>
      </c>
      <c r="K498" s="3">
        <v>0.84299999999999997</v>
      </c>
    </row>
    <row r="499" spans="1:11" x14ac:dyDescent="0.3">
      <c r="A499" t="s">
        <v>515</v>
      </c>
      <c r="B499" t="s">
        <v>254</v>
      </c>
      <c r="C499" t="s">
        <v>140</v>
      </c>
      <c r="D499" s="1" t="s">
        <v>475</v>
      </c>
      <c r="F499" t="s">
        <v>382</v>
      </c>
      <c r="H499" t="s">
        <v>314</v>
      </c>
      <c r="I499">
        <v>33909850</v>
      </c>
      <c r="J499">
        <v>28625919</v>
      </c>
      <c r="K499" s="3">
        <v>0.84399999999999997</v>
      </c>
    </row>
    <row r="500" spans="1:11" x14ac:dyDescent="0.3">
      <c r="A500" t="s">
        <v>515</v>
      </c>
      <c r="B500" t="s">
        <v>254</v>
      </c>
      <c r="C500" t="s">
        <v>140</v>
      </c>
      <c r="D500" s="1" t="s">
        <v>475</v>
      </c>
      <c r="F500" t="s">
        <v>384</v>
      </c>
      <c r="H500" t="s">
        <v>314</v>
      </c>
      <c r="I500">
        <v>30273808</v>
      </c>
      <c r="J500">
        <v>25550369</v>
      </c>
      <c r="K500" s="3">
        <v>0.84399999999999997</v>
      </c>
    </row>
    <row r="501" spans="1:11" x14ac:dyDescent="0.3">
      <c r="A501" t="s">
        <v>515</v>
      </c>
      <c r="B501" t="s">
        <v>254</v>
      </c>
      <c r="C501" t="s">
        <v>140</v>
      </c>
      <c r="D501" s="1" t="s">
        <v>475</v>
      </c>
      <c r="F501" t="s">
        <v>383</v>
      </c>
      <c r="H501" t="s">
        <v>314</v>
      </c>
      <c r="I501">
        <v>31654328</v>
      </c>
      <c r="J501">
        <v>26854156</v>
      </c>
      <c r="K501" s="3">
        <v>0.84799999999999998</v>
      </c>
    </row>
    <row r="502" spans="1:11" x14ac:dyDescent="0.3">
      <c r="A502" t="s">
        <v>515</v>
      </c>
      <c r="B502" t="s">
        <v>254</v>
      </c>
      <c r="C502" t="s">
        <v>140</v>
      </c>
      <c r="D502" s="1" t="s">
        <v>475</v>
      </c>
      <c r="F502" t="s">
        <v>410</v>
      </c>
      <c r="H502" t="s">
        <v>314</v>
      </c>
      <c r="I502">
        <v>39316531</v>
      </c>
      <c r="J502">
        <v>33431087</v>
      </c>
      <c r="K502" s="3">
        <v>0.85</v>
      </c>
    </row>
    <row r="503" spans="1:11" x14ac:dyDescent="0.3">
      <c r="A503" t="s">
        <v>515</v>
      </c>
      <c r="B503" t="s">
        <v>254</v>
      </c>
      <c r="C503" t="s">
        <v>140</v>
      </c>
      <c r="D503" s="1" t="s">
        <v>475</v>
      </c>
      <c r="F503" t="s">
        <v>431</v>
      </c>
      <c r="H503" t="s">
        <v>314</v>
      </c>
      <c r="I503">
        <v>40076044</v>
      </c>
      <c r="J503">
        <v>34256600</v>
      </c>
      <c r="K503" s="3">
        <v>0.85499999999999998</v>
      </c>
    </row>
    <row r="504" spans="1:11" x14ac:dyDescent="0.3">
      <c r="A504" t="s">
        <v>515</v>
      </c>
      <c r="B504" t="s">
        <v>254</v>
      </c>
      <c r="C504" t="s">
        <v>140</v>
      </c>
      <c r="D504" s="1" t="s">
        <v>475</v>
      </c>
      <c r="F504" t="s">
        <v>387</v>
      </c>
      <c r="H504" t="s">
        <v>314</v>
      </c>
      <c r="I504">
        <v>40512329</v>
      </c>
      <c r="J504">
        <v>35174725</v>
      </c>
      <c r="K504" s="3">
        <v>0.86799999999999999</v>
      </c>
    </row>
    <row r="505" spans="1:11" x14ac:dyDescent="0.3">
      <c r="A505" t="s">
        <v>515</v>
      </c>
      <c r="B505" t="s">
        <v>254</v>
      </c>
      <c r="C505" t="s">
        <v>140</v>
      </c>
      <c r="D505" s="1" t="s">
        <v>475</v>
      </c>
      <c r="F505" t="s">
        <v>392</v>
      </c>
      <c r="H505" t="s">
        <v>314</v>
      </c>
      <c r="I505">
        <v>36884866</v>
      </c>
      <c r="J505">
        <v>32429524</v>
      </c>
      <c r="K505" s="3">
        <v>0.879</v>
      </c>
    </row>
    <row r="506" spans="1:11" x14ac:dyDescent="0.3">
      <c r="A506" t="s">
        <v>515</v>
      </c>
      <c r="B506" t="s">
        <v>254</v>
      </c>
      <c r="C506" t="s">
        <v>140</v>
      </c>
      <c r="D506" s="1" t="s">
        <v>475</v>
      </c>
      <c r="F506" t="s">
        <v>403</v>
      </c>
      <c r="H506" t="s">
        <v>314</v>
      </c>
      <c r="I506">
        <v>35638879</v>
      </c>
      <c r="J506">
        <v>31849699</v>
      </c>
      <c r="K506" s="3">
        <v>0.89400000000000002</v>
      </c>
    </row>
    <row r="507" spans="1:11" x14ac:dyDescent="0.3">
      <c r="A507" t="s">
        <v>515</v>
      </c>
      <c r="B507" t="s">
        <v>254</v>
      </c>
      <c r="C507" t="s">
        <v>140</v>
      </c>
      <c r="D507" s="1" t="s">
        <v>475</v>
      </c>
      <c r="F507" t="s">
        <v>433</v>
      </c>
      <c r="H507" t="s">
        <v>314</v>
      </c>
    </row>
    <row r="508" spans="1:11" x14ac:dyDescent="0.3">
      <c r="A508" t="s">
        <v>515</v>
      </c>
      <c r="B508" t="s">
        <v>254</v>
      </c>
      <c r="C508" t="s">
        <v>140</v>
      </c>
      <c r="D508" s="1" t="s">
        <v>475</v>
      </c>
      <c r="F508" t="s">
        <v>434</v>
      </c>
      <c r="H508" t="s">
        <v>314</v>
      </c>
    </row>
    <row r="509" spans="1:11" x14ac:dyDescent="0.3">
      <c r="A509" t="s">
        <v>515</v>
      </c>
      <c r="B509" t="s">
        <v>254</v>
      </c>
      <c r="C509" t="s">
        <v>140</v>
      </c>
      <c r="D509" s="1" t="s">
        <v>475</v>
      </c>
      <c r="F509" t="s">
        <v>435</v>
      </c>
      <c r="H509" t="s">
        <v>314</v>
      </c>
    </row>
    <row r="510" spans="1:11" x14ac:dyDescent="0.3">
      <c r="A510" t="s">
        <v>515</v>
      </c>
      <c r="B510" t="s">
        <v>254</v>
      </c>
      <c r="C510" t="s">
        <v>140</v>
      </c>
      <c r="D510" s="1" t="s">
        <v>475</v>
      </c>
      <c r="F510" t="s">
        <v>436</v>
      </c>
      <c r="H510" t="s">
        <v>314</v>
      </c>
    </row>
    <row r="511" spans="1:11" x14ac:dyDescent="0.3">
      <c r="A511" t="s">
        <v>515</v>
      </c>
      <c r="B511" t="s">
        <v>254</v>
      </c>
      <c r="C511" t="s">
        <v>140</v>
      </c>
      <c r="D511" s="1" t="s">
        <v>475</v>
      </c>
      <c r="F511" t="s">
        <v>437</v>
      </c>
      <c r="H511" t="s">
        <v>314</v>
      </c>
    </row>
    <row r="512" spans="1:11" x14ac:dyDescent="0.3">
      <c r="A512" t="s">
        <v>515</v>
      </c>
      <c r="B512" t="s">
        <v>254</v>
      </c>
      <c r="C512" t="s">
        <v>140</v>
      </c>
      <c r="D512" s="1" t="s">
        <v>475</v>
      </c>
      <c r="F512" t="s">
        <v>438</v>
      </c>
      <c r="H512" t="s">
        <v>314</v>
      </c>
    </row>
    <row r="513" spans="1:19" x14ac:dyDescent="0.3">
      <c r="A513" t="s">
        <v>515</v>
      </c>
      <c r="B513" t="s">
        <v>252</v>
      </c>
      <c r="C513" t="s">
        <v>140</v>
      </c>
      <c r="D513" s="1" t="s">
        <v>475</v>
      </c>
      <c r="F513" t="s">
        <v>372</v>
      </c>
      <c r="H513" t="s">
        <v>314</v>
      </c>
      <c r="I513">
        <v>19562091</v>
      </c>
      <c r="J513">
        <v>16919098</v>
      </c>
      <c r="K513" s="3">
        <v>0.86489199999999999</v>
      </c>
      <c r="L513">
        <v>10947594</v>
      </c>
      <c r="M513" s="3">
        <v>0.55963300000000005</v>
      </c>
      <c r="N513">
        <v>8614497</v>
      </c>
      <c r="O513" s="3">
        <v>0.44036700000000001</v>
      </c>
      <c r="P513">
        <v>0</v>
      </c>
      <c r="Q513" s="3">
        <v>0</v>
      </c>
      <c r="R513">
        <v>0</v>
      </c>
      <c r="S513" s="3">
        <v>0</v>
      </c>
    </row>
    <row r="514" spans="1:19" x14ac:dyDescent="0.3">
      <c r="A514" t="s">
        <v>515</v>
      </c>
      <c r="B514" t="s">
        <v>252</v>
      </c>
      <c r="C514" t="s">
        <v>140</v>
      </c>
      <c r="D514" s="1" t="s">
        <v>475</v>
      </c>
      <c r="F514" t="s">
        <v>370</v>
      </c>
      <c r="H514" t="s">
        <v>314</v>
      </c>
      <c r="I514">
        <v>23216486</v>
      </c>
      <c r="J514">
        <v>20227315</v>
      </c>
      <c r="K514" s="3">
        <v>0.87124800000000002</v>
      </c>
      <c r="L514">
        <v>12912191</v>
      </c>
      <c r="M514" s="3">
        <v>0.55616500000000002</v>
      </c>
      <c r="N514">
        <v>10304295</v>
      </c>
      <c r="O514" s="3">
        <v>0.44383499999999998</v>
      </c>
      <c r="P514">
        <v>0</v>
      </c>
      <c r="Q514" s="3">
        <v>0</v>
      </c>
      <c r="R514">
        <v>0</v>
      </c>
      <c r="S514" s="3">
        <v>0</v>
      </c>
    </row>
    <row r="515" spans="1:19" x14ac:dyDescent="0.3">
      <c r="A515" t="s">
        <v>515</v>
      </c>
      <c r="B515" t="s">
        <v>252</v>
      </c>
      <c r="C515" t="s">
        <v>140</v>
      </c>
      <c r="D515" s="1" t="s">
        <v>475</v>
      </c>
      <c r="F515" t="s">
        <v>374</v>
      </c>
      <c r="H515" t="s">
        <v>314</v>
      </c>
      <c r="I515">
        <v>21527477</v>
      </c>
      <c r="J515">
        <v>18789225</v>
      </c>
      <c r="K515" s="3">
        <v>0.87280199999999997</v>
      </c>
      <c r="L515">
        <v>12053789</v>
      </c>
      <c r="M515" s="3">
        <v>0.55992600000000003</v>
      </c>
      <c r="N515">
        <v>9473688</v>
      </c>
      <c r="O515" s="3">
        <v>0.44007400000000002</v>
      </c>
      <c r="P515">
        <v>0</v>
      </c>
      <c r="Q515" s="3">
        <v>0</v>
      </c>
      <c r="R515">
        <v>0</v>
      </c>
      <c r="S515" s="3">
        <v>0</v>
      </c>
    </row>
    <row r="516" spans="1:19" x14ac:dyDescent="0.3">
      <c r="A516" t="s">
        <v>515</v>
      </c>
      <c r="B516" t="s">
        <v>252</v>
      </c>
      <c r="C516" t="s">
        <v>140</v>
      </c>
      <c r="D516" s="1" t="s">
        <v>475</v>
      </c>
      <c r="F516" t="s">
        <v>369</v>
      </c>
      <c r="H516" t="s">
        <v>314</v>
      </c>
      <c r="I516">
        <v>21897358</v>
      </c>
      <c r="J516">
        <v>19115788</v>
      </c>
      <c r="K516" s="3">
        <v>0.87297199999999997</v>
      </c>
      <c r="L516">
        <v>12205518</v>
      </c>
      <c r="M516" s="3">
        <v>0.55739700000000003</v>
      </c>
      <c r="N516">
        <v>9691840</v>
      </c>
      <c r="O516" s="3">
        <v>0.44260300000000002</v>
      </c>
      <c r="P516">
        <v>0</v>
      </c>
      <c r="Q516" s="3">
        <v>0</v>
      </c>
      <c r="R516">
        <v>0</v>
      </c>
      <c r="S516" s="3">
        <v>0</v>
      </c>
    </row>
    <row r="517" spans="1:19" x14ac:dyDescent="0.3">
      <c r="A517" t="s">
        <v>515</v>
      </c>
      <c r="B517" t="s">
        <v>252</v>
      </c>
      <c r="C517" t="s">
        <v>140</v>
      </c>
      <c r="D517" s="1" t="s">
        <v>475</v>
      </c>
      <c r="F517" t="s">
        <v>436</v>
      </c>
      <c r="H517" t="s">
        <v>314</v>
      </c>
      <c r="I517">
        <v>402128825</v>
      </c>
      <c r="J517">
        <v>351196528</v>
      </c>
      <c r="K517" s="3">
        <v>0.87334299999999998</v>
      </c>
      <c r="L517">
        <v>225003688</v>
      </c>
      <c r="M517" s="3">
        <v>0.559531</v>
      </c>
      <c r="N517">
        <v>177125137</v>
      </c>
      <c r="O517" s="3">
        <v>0.440469</v>
      </c>
      <c r="P517">
        <v>0</v>
      </c>
      <c r="Q517" s="3">
        <v>0</v>
      </c>
      <c r="R517">
        <v>0</v>
      </c>
      <c r="S517" s="3">
        <v>0</v>
      </c>
    </row>
    <row r="518" spans="1:19" x14ac:dyDescent="0.3">
      <c r="A518" t="s">
        <v>515</v>
      </c>
      <c r="B518" t="s">
        <v>252</v>
      </c>
      <c r="C518" t="s">
        <v>140</v>
      </c>
      <c r="D518" s="1" t="s">
        <v>475</v>
      </c>
      <c r="F518" t="s">
        <v>438</v>
      </c>
      <c r="H518" t="s">
        <v>314</v>
      </c>
      <c r="I518">
        <v>387968031</v>
      </c>
      <c r="J518">
        <v>338912382</v>
      </c>
      <c r="K518" s="3">
        <v>0.87355799999999995</v>
      </c>
      <c r="L518">
        <v>217169438</v>
      </c>
      <c r="M518" s="3">
        <v>0.55976099999999995</v>
      </c>
      <c r="N518">
        <v>170798593</v>
      </c>
      <c r="O518" s="3">
        <v>0.44023899999999999</v>
      </c>
      <c r="P518">
        <v>0</v>
      </c>
      <c r="Q518" s="3">
        <v>0</v>
      </c>
      <c r="R518">
        <v>0</v>
      </c>
      <c r="S518" s="3">
        <v>0</v>
      </c>
    </row>
    <row r="519" spans="1:19" x14ac:dyDescent="0.3">
      <c r="A519" t="s">
        <v>515</v>
      </c>
      <c r="B519" t="s">
        <v>252</v>
      </c>
      <c r="C519" t="s">
        <v>140</v>
      </c>
      <c r="D519" s="1" t="s">
        <v>475</v>
      </c>
      <c r="F519" t="s">
        <v>373</v>
      </c>
      <c r="H519" t="s">
        <v>314</v>
      </c>
      <c r="I519">
        <v>20643985</v>
      </c>
      <c r="J519">
        <v>18120675</v>
      </c>
      <c r="K519" s="3">
        <v>0.87777000000000005</v>
      </c>
      <c r="L519">
        <v>11482506</v>
      </c>
      <c r="M519" s="3">
        <v>0.55621600000000004</v>
      </c>
      <c r="N519">
        <v>9161479</v>
      </c>
      <c r="O519" s="3">
        <v>0.44378400000000001</v>
      </c>
      <c r="P519">
        <v>0</v>
      </c>
      <c r="Q519" s="3">
        <v>0</v>
      </c>
      <c r="R519">
        <v>0</v>
      </c>
      <c r="S519" s="3">
        <v>0</v>
      </c>
    </row>
    <row r="520" spans="1:19" x14ac:dyDescent="0.3">
      <c r="A520" t="s">
        <v>515</v>
      </c>
      <c r="B520" t="s">
        <v>252</v>
      </c>
      <c r="C520" t="s">
        <v>140</v>
      </c>
      <c r="D520" s="1" t="s">
        <v>475</v>
      </c>
      <c r="F520" t="s">
        <v>379</v>
      </c>
      <c r="H520" t="s">
        <v>314</v>
      </c>
      <c r="I520">
        <v>21550010</v>
      </c>
      <c r="J520">
        <v>18966662</v>
      </c>
      <c r="K520" s="3">
        <v>0.88012299999999999</v>
      </c>
      <c r="L520">
        <v>12006415</v>
      </c>
      <c r="M520" s="3">
        <v>0.55714200000000003</v>
      </c>
      <c r="N520">
        <v>9543595</v>
      </c>
      <c r="O520" s="3">
        <v>0.44285799999999997</v>
      </c>
      <c r="P520">
        <v>0</v>
      </c>
      <c r="Q520" s="3">
        <v>0</v>
      </c>
      <c r="R520">
        <v>0</v>
      </c>
      <c r="S520" s="3">
        <v>0</v>
      </c>
    </row>
    <row r="521" spans="1:19" x14ac:dyDescent="0.3">
      <c r="A521" t="s">
        <v>515</v>
      </c>
      <c r="B521" t="s">
        <v>252</v>
      </c>
      <c r="C521" t="s">
        <v>140</v>
      </c>
      <c r="D521" s="1" t="s">
        <v>475</v>
      </c>
      <c r="F521" t="s">
        <v>380</v>
      </c>
      <c r="H521" t="s">
        <v>314</v>
      </c>
      <c r="I521">
        <v>20745339</v>
      </c>
      <c r="J521">
        <v>18279718</v>
      </c>
      <c r="K521" s="3">
        <v>0.88114800000000004</v>
      </c>
      <c r="L521">
        <v>11567829</v>
      </c>
      <c r="M521" s="3">
        <v>0.55761099999999997</v>
      </c>
      <c r="N521">
        <v>9177510</v>
      </c>
      <c r="O521" s="3">
        <v>0.44238899999999998</v>
      </c>
      <c r="P521">
        <v>0</v>
      </c>
      <c r="Q521" s="3">
        <v>0</v>
      </c>
      <c r="R521">
        <v>0</v>
      </c>
      <c r="S521" s="3">
        <v>0</v>
      </c>
    </row>
    <row r="522" spans="1:19" x14ac:dyDescent="0.3">
      <c r="A522" t="s">
        <v>515</v>
      </c>
      <c r="B522" t="s">
        <v>252</v>
      </c>
      <c r="C522" t="s">
        <v>140</v>
      </c>
      <c r="D522" s="1" t="s">
        <v>475</v>
      </c>
      <c r="F522" t="s">
        <v>435</v>
      </c>
      <c r="H522" t="s">
        <v>314</v>
      </c>
      <c r="I522">
        <v>396486030</v>
      </c>
      <c r="J522">
        <v>349688749</v>
      </c>
      <c r="K522" s="3">
        <v>0.88197000000000003</v>
      </c>
      <c r="L522">
        <v>219807199</v>
      </c>
      <c r="M522" s="3">
        <v>0.55438799999999999</v>
      </c>
      <c r="N522">
        <v>176678831</v>
      </c>
      <c r="O522" s="3">
        <v>0.44561200000000001</v>
      </c>
      <c r="P522">
        <v>0</v>
      </c>
      <c r="Q522" s="3">
        <v>0</v>
      </c>
      <c r="R522">
        <v>0</v>
      </c>
      <c r="S522" s="3">
        <v>0</v>
      </c>
    </row>
    <row r="523" spans="1:19" x14ac:dyDescent="0.3">
      <c r="A523" t="s">
        <v>515</v>
      </c>
      <c r="B523" t="s">
        <v>252</v>
      </c>
      <c r="C523" t="s">
        <v>140</v>
      </c>
      <c r="D523" s="1" t="s">
        <v>475</v>
      </c>
      <c r="F523" t="s">
        <v>367</v>
      </c>
      <c r="H523" t="s">
        <v>314</v>
      </c>
      <c r="I523">
        <v>21553315</v>
      </c>
      <c r="J523">
        <v>19021059</v>
      </c>
      <c r="K523" s="3">
        <v>0.88251199999999996</v>
      </c>
      <c r="L523">
        <v>11965679</v>
      </c>
      <c r="M523" s="3">
        <v>0.55516600000000005</v>
      </c>
      <c r="N523">
        <v>9587636</v>
      </c>
      <c r="O523" s="3">
        <v>0.44483299999999998</v>
      </c>
      <c r="P523">
        <v>0</v>
      </c>
      <c r="Q523" s="3">
        <v>0</v>
      </c>
      <c r="R523">
        <v>0</v>
      </c>
      <c r="S523" s="3">
        <v>0</v>
      </c>
    </row>
    <row r="524" spans="1:19" x14ac:dyDescent="0.3">
      <c r="A524" t="s">
        <v>515</v>
      </c>
      <c r="B524" t="s">
        <v>252</v>
      </c>
      <c r="C524" t="s">
        <v>140</v>
      </c>
      <c r="D524" s="1" t="s">
        <v>475</v>
      </c>
      <c r="F524" t="s">
        <v>434</v>
      </c>
      <c r="H524" t="s">
        <v>314</v>
      </c>
      <c r="I524">
        <v>21736226</v>
      </c>
      <c r="J524">
        <v>19200735</v>
      </c>
      <c r="K524" s="3">
        <v>0.88335200000000003</v>
      </c>
      <c r="L524">
        <v>12089429</v>
      </c>
      <c r="M524" s="3">
        <v>0.55618800000000002</v>
      </c>
      <c r="N524">
        <v>9646797</v>
      </c>
      <c r="O524" s="3">
        <v>0.44381199999999998</v>
      </c>
      <c r="P524">
        <v>0</v>
      </c>
      <c r="Q524" s="3">
        <v>0</v>
      </c>
      <c r="R524">
        <v>0</v>
      </c>
      <c r="S524" s="3">
        <v>0</v>
      </c>
    </row>
    <row r="525" spans="1:19" x14ac:dyDescent="0.3">
      <c r="A525" t="s">
        <v>515</v>
      </c>
      <c r="B525" t="s">
        <v>252</v>
      </c>
      <c r="C525" t="s">
        <v>140</v>
      </c>
      <c r="D525" s="1" t="s">
        <v>475</v>
      </c>
      <c r="F525" t="s">
        <v>366</v>
      </c>
      <c r="H525" t="s">
        <v>314</v>
      </c>
      <c r="I525">
        <v>385243080</v>
      </c>
      <c r="J525">
        <v>340318220</v>
      </c>
      <c r="K525" s="3">
        <v>0.883386</v>
      </c>
      <c r="L525">
        <v>213575689</v>
      </c>
      <c r="M525" s="3">
        <v>0.554392</v>
      </c>
      <c r="N525">
        <v>171667391</v>
      </c>
      <c r="O525" s="3">
        <v>0.445608</v>
      </c>
      <c r="P525">
        <v>0</v>
      </c>
      <c r="Q525" s="3">
        <v>0</v>
      </c>
      <c r="R525">
        <v>0</v>
      </c>
      <c r="S525" s="3">
        <v>0</v>
      </c>
    </row>
    <row r="526" spans="1:19" x14ac:dyDescent="0.3">
      <c r="A526" t="s">
        <v>515</v>
      </c>
      <c r="B526" t="s">
        <v>252</v>
      </c>
      <c r="C526" t="s">
        <v>140</v>
      </c>
      <c r="D526" s="1" t="s">
        <v>475</v>
      </c>
      <c r="F526" t="s">
        <v>375</v>
      </c>
      <c r="H526" t="s">
        <v>314</v>
      </c>
      <c r="I526">
        <v>23131585</v>
      </c>
      <c r="J526">
        <v>20453554</v>
      </c>
      <c r="K526" s="3">
        <v>0.88422599999999996</v>
      </c>
      <c r="L526">
        <v>12815511</v>
      </c>
      <c r="M526" s="3">
        <v>0.55402700000000005</v>
      </c>
      <c r="N526">
        <v>10316074</v>
      </c>
      <c r="O526" s="3">
        <v>0.44597399999999998</v>
      </c>
      <c r="P526">
        <v>0</v>
      </c>
      <c r="Q526" s="3">
        <v>0</v>
      </c>
      <c r="R526">
        <v>0</v>
      </c>
      <c r="S526" s="3">
        <v>0</v>
      </c>
    </row>
    <row r="527" spans="1:19" x14ac:dyDescent="0.3">
      <c r="A527" t="s">
        <v>515</v>
      </c>
      <c r="B527" t="s">
        <v>252</v>
      </c>
      <c r="C527" t="s">
        <v>140</v>
      </c>
      <c r="D527" s="1" t="s">
        <v>475</v>
      </c>
      <c r="F527" t="s">
        <v>437</v>
      </c>
      <c r="H527" t="s">
        <v>314</v>
      </c>
      <c r="I527">
        <v>391141463</v>
      </c>
      <c r="J527">
        <v>346209338</v>
      </c>
      <c r="K527" s="3">
        <v>0.88512599999999997</v>
      </c>
      <c r="L527">
        <v>216472762</v>
      </c>
      <c r="M527" s="3">
        <v>0.55343900000000001</v>
      </c>
      <c r="N527">
        <v>174668701</v>
      </c>
      <c r="O527" s="3">
        <v>0.44656099999999999</v>
      </c>
      <c r="P527">
        <v>0</v>
      </c>
      <c r="Q527" s="3">
        <v>0</v>
      </c>
      <c r="R527">
        <v>0</v>
      </c>
      <c r="S527" s="3">
        <v>0</v>
      </c>
    </row>
    <row r="528" spans="1:19" x14ac:dyDescent="0.3">
      <c r="A528" t="s">
        <v>515</v>
      </c>
      <c r="B528" t="s">
        <v>252</v>
      </c>
      <c r="C528" t="s">
        <v>140</v>
      </c>
      <c r="D528" s="1" t="s">
        <v>475</v>
      </c>
      <c r="F528" t="s">
        <v>376</v>
      </c>
      <c r="H528" t="s">
        <v>314</v>
      </c>
      <c r="I528">
        <v>22917488</v>
      </c>
      <c r="J528">
        <v>20286532</v>
      </c>
      <c r="K528" s="3">
        <v>0.88519899999999996</v>
      </c>
      <c r="L528">
        <v>12691489</v>
      </c>
      <c r="M528" s="3">
        <v>0.55379100000000003</v>
      </c>
      <c r="N528">
        <v>10225999</v>
      </c>
      <c r="O528" s="3">
        <v>0.44620900000000002</v>
      </c>
      <c r="P528">
        <v>0</v>
      </c>
      <c r="Q528" s="3">
        <v>0</v>
      </c>
      <c r="R528">
        <v>0</v>
      </c>
      <c r="S528" s="3">
        <v>0</v>
      </c>
    </row>
    <row r="529" spans="1:19" x14ac:dyDescent="0.3">
      <c r="A529" t="s">
        <v>515</v>
      </c>
      <c r="B529" t="s">
        <v>252</v>
      </c>
      <c r="C529" t="s">
        <v>140</v>
      </c>
      <c r="D529" s="1" t="s">
        <v>475</v>
      </c>
      <c r="F529" t="s">
        <v>377</v>
      </c>
      <c r="H529" t="s">
        <v>314</v>
      </c>
      <c r="I529">
        <v>23254102</v>
      </c>
      <c r="J529">
        <v>20589252</v>
      </c>
      <c r="K529" s="3">
        <v>0.88540300000000005</v>
      </c>
      <c r="L529">
        <v>12878312</v>
      </c>
      <c r="M529" s="3">
        <v>0.55380799999999997</v>
      </c>
      <c r="N529">
        <v>10375790</v>
      </c>
      <c r="O529" s="3">
        <v>0.44619199999999998</v>
      </c>
      <c r="P529">
        <v>0</v>
      </c>
      <c r="Q529" s="3">
        <v>0</v>
      </c>
      <c r="R529">
        <v>0</v>
      </c>
      <c r="S529" s="3">
        <v>0</v>
      </c>
    </row>
    <row r="530" spans="1:19" x14ac:dyDescent="0.3">
      <c r="A530" t="s">
        <v>515</v>
      </c>
      <c r="B530" t="s">
        <v>252</v>
      </c>
      <c r="C530" t="s">
        <v>140</v>
      </c>
      <c r="D530" s="1" t="s">
        <v>475</v>
      </c>
      <c r="F530" t="s">
        <v>365</v>
      </c>
      <c r="H530" t="s">
        <v>314</v>
      </c>
      <c r="I530">
        <v>330818925</v>
      </c>
      <c r="J530">
        <v>292974598</v>
      </c>
      <c r="K530" s="3">
        <v>0.88560399999999995</v>
      </c>
      <c r="L530">
        <v>183396252</v>
      </c>
      <c r="M530" s="3">
        <v>0.55437099999999995</v>
      </c>
      <c r="N530">
        <v>147422673</v>
      </c>
      <c r="O530" s="3">
        <v>0.44563000000000003</v>
      </c>
      <c r="P530">
        <v>0</v>
      </c>
      <c r="Q530" s="3">
        <v>0</v>
      </c>
      <c r="R530">
        <v>0</v>
      </c>
      <c r="S530" s="3">
        <v>0</v>
      </c>
    </row>
    <row r="531" spans="1:19" x14ac:dyDescent="0.3">
      <c r="A531" t="s">
        <v>515</v>
      </c>
      <c r="B531" t="s">
        <v>252</v>
      </c>
      <c r="C531" t="s">
        <v>140</v>
      </c>
      <c r="D531" s="1" t="s">
        <v>475</v>
      </c>
      <c r="F531" t="s">
        <v>368</v>
      </c>
      <c r="H531" t="s">
        <v>314</v>
      </c>
      <c r="I531">
        <v>25107459</v>
      </c>
      <c r="J531">
        <v>22236783</v>
      </c>
      <c r="K531" s="3">
        <v>0.88566400000000001</v>
      </c>
      <c r="L531">
        <v>13921685</v>
      </c>
      <c r="M531" s="3">
        <v>0.55448399999999998</v>
      </c>
      <c r="N531">
        <v>11185774</v>
      </c>
      <c r="O531" s="3">
        <v>0.44551600000000002</v>
      </c>
      <c r="P531">
        <v>0</v>
      </c>
      <c r="Q531" s="3">
        <v>0</v>
      </c>
      <c r="R531">
        <v>0</v>
      </c>
      <c r="S531" s="3">
        <v>0</v>
      </c>
    </row>
    <row r="532" spans="1:19" x14ac:dyDescent="0.3">
      <c r="A532" t="s">
        <v>515</v>
      </c>
      <c r="B532" t="s">
        <v>252</v>
      </c>
      <c r="C532" t="s">
        <v>140</v>
      </c>
      <c r="D532" s="1" t="s">
        <v>475</v>
      </c>
      <c r="F532" t="s">
        <v>371</v>
      </c>
      <c r="H532" t="s">
        <v>314</v>
      </c>
      <c r="I532">
        <v>20268311</v>
      </c>
      <c r="J532">
        <v>17970790</v>
      </c>
      <c r="K532" s="3">
        <v>0.88664500000000002</v>
      </c>
      <c r="L532">
        <v>11230295</v>
      </c>
      <c r="M532" s="3">
        <v>0.55408100000000005</v>
      </c>
      <c r="N532">
        <v>9038016</v>
      </c>
      <c r="O532" s="3">
        <v>0.44591900000000001</v>
      </c>
      <c r="P532">
        <v>0</v>
      </c>
      <c r="Q532" s="3">
        <v>0</v>
      </c>
      <c r="R532">
        <v>0</v>
      </c>
      <c r="S532" s="3">
        <v>0</v>
      </c>
    </row>
    <row r="533" spans="1:19" x14ac:dyDescent="0.3">
      <c r="A533" t="s">
        <v>515</v>
      </c>
      <c r="B533" t="s">
        <v>252</v>
      </c>
      <c r="C533" t="s">
        <v>140</v>
      </c>
      <c r="D533" s="1" t="s">
        <v>475</v>
      </c>
      <c r="F533" t="s">
        <v>433</v>
      </c>
      <c r="H533" t="s">
        <v>314</v>
      </c>
      <c r="I533">
        <v>23490324</v>
      </c>
      <c r="J533">
        <v>20855437</v>
      </c>
      <c r="K533" s="3">
        <v>0.88783100000000004</v>
      </c>
      <c r="L533">
        <v>12959095</v>
      </c>
      <c r="M533" s="3">
        <v>0.551678</v>
      </c>
      <c r="N533">
        <v>10531229</v>
      </c>
      <c r="O533" s="3">
        <v>0.448322</v>
      </c>
      <c r="P533">
        <v>0</v>
      </c>
      <c r="Q533" s="3">
        <v>0</v>
      </c>
      <c r="R533">
        <v>0</v>
      </c>
      <c r="S533" s="3">
        <v>0</v>
      </c>
    </row>
    <row r="534" spans="1:19" x14ac:dyDescent="0.3">
      <c r="A534" t="s">
        <v>515</v>
      </c>
      <c r="B534" t="s">
        <v>252</v>
      </c>
      <c r="C534" t="s">
        <v>140</v>
      </c>
      <c r="D534" s="1" t="s">
        <v>475</v>
      </c>
      <c r="F534" t="s">
        <v>378</v>
      </c>
      <c r="H534" t="s">
        <v>314</v>
      </c>
      <c r="I534">
        <v>21275092</v>
      </c>
      <c r="J534">
        <v>18926713</v>
      </c>
      <c r="K534" s="3">
        <v>0.88961800000000002</v>
      </c>
      <c r="L534">
        <v>11777541</v>
      </c>
      <c r="M534" s="3">
        <v>0.55358399999999996</v>
      </c>
      <c r="N534">
        <v>9497551</v>
      </c>
      <c r="O534" s="3">
        <v>0.44641599999999998</v>
      </c>
      <c r="P534">
        <v>0</v>
      </c>
      <c r="Q534" s="3">
        <v>0</v>
      </c>
      <c r="R534">
        <v>0</v>
      </c>
      <c r="S534" s="3">
        <v>0</v>
      </c>
    </row>
    <row r="535" spans="1:19" x14ac:dyDescent="0.3">
      <c r="A535" t="s">
        <v>515</v>
      </c>
      <c r="B535" t="s">
        <v>252</v>
      </c>
      <c r="C535" t="s">
        <v>140</v>
      </c>
      <c r="D535" s="1" t="s">
        <v>475</v>
      </c>
      <c r="F535" t="s">
        <v>364</v>
      </c>
      <c r="H535" t="s">
        <v>314</v>
      </c>
      <c r="I535">
        <v>34348019</v>
      </c>
      <c r="J535">
        <v>30589848</v>
      </c>
      <c r="K535" s="3">
        <v>0.89058499999999996</v>
      </c>
      <c r="L535">
        <v>18967252</v>
      </c>
      <c r="M535" s="3">
        <v>0.55220800000000003</v>
      </c>
      <c r="N535">
        <v>15380767</v>
      </c>
      <c r="O535" s="3">
        <v>0.44779200000000002</v>
      </c>
      <c r="P535">
        <v>0</v>
      </c>
      <c r="Q535" s="3">
        <v>0</v>
      </c>
      <c r="R535">
        <v>0</v>
      </c>
      <c r="S535" s="3">
        <v>0</v>
      </c>
    </row>
    <row r="536" spans="1:19" x14ac:dyDescent="0.3">
      <c r="A536" t="s">
        <v>515</v>
      </c>
      <c r="B536" t="s">
        <v>252</v>
      </c>
      <c r="C536" t="s">
        <v>140</v>
      </c>
      <c r="D536" s="1" t="s">
        <v>475</v>
      </c>
      <c r="F536" t="s">
        <v>363</v>
      </c>
      <c r="H536" t="s">
        <v>314</v>
      </c>
      <c r="I536">
        <v>44887806</v>
      </c>
      <c r="J536">
        <v>40195049</v>
      </c>
      <c r="K536" s="3">
        <v>0.89545600000000003</v>
      </c>
      <c r="L536">
        <v>24684043</v>
      </c>
      <c r="M536" s="3">
        <v>0.54990499999999998</v>
      </c>
      <c r="N536">
        <v>20203763</v>
      </c>
      <c r="O536" s="3">
        <v>0.45009500000000002</v>
      </c>
      <c r="P536">
        <v>0</v>
      </c>
      <c r="Q536" s="3">
        <v>0</v>
      </c>
      <c r="R536">
        <v>0</v>
      </c>
      <c r="S536" s="3">
        <v>0</v>
      </c>
    </row>
    <row r="537" spans="1:19" x14ac:dyDescent="0.3">
      <c r="A537" t="s">
        <v>515</v>
      </c>
      <c r="B537" t="s">
        <v>252</v>
      </c>
      <c r="C537" t="s">
        <v>140</v>
      </c>
      <c r="D537" s="1" t="s">
        <v>475</v>
      </c>
      <c r="F537" t="s">
        <v>405</v>
      </c>
      <c r="H537" t="s">
        <v>314</v>
      </c>
      <c r="I537">
        <v>55039310</v>
      </c>
      <c r="J537">
        <v>51299234</v>
      </c>
      <c r="K537" s="3">
        <v>0.93204699999999996</v>
      </c>
      <c r="L537">
        <v>29542302</v>
      </c>
      <c r="M537" s="3">
        <v>0.53674900000000003</v>
      </c>
      <c r="N537">
        <v>25497008</v>
      </c>
      <c r="O537" s="3">
        <v>0.46325100000000002</v>
      </c>
      <c r="P537">
        <v>0</v>
      </c>
      <c r="Q537" s="3">
        <v>0</v>
      </c>
      <c r="R537">
        <v>0</v>
      </c>
      <c r="S537" s="3">
        <v>0</v>
      </c>
    </row>
    <row r="538" spans="1:19" x14ac:dyDescent="0.3">
      <c r="A538" t="s">
        <v>515</v>
      </c>
      <c r="B538" t="s">
        <v>252</v>
      </c>
      <c r="C538" t="s">
        <v>140</v>
      </c>
      <c r="D538" s="1" t="s">
        <v>475</v>
      </c>
      <c r="F538" t="s">
        <v>473</v>
      </c>
      <c r="H538" t="s">
        <v>314</v>
      </c>
      <c r="I538">
        <v>51596184</v>
      </c>
      <c r="J538">
        <v>48157333</v>
      </c>
      <c r="K538" s="3">
        <v>0.93335100000000004</v>
      </c>
      <c r="L538">
        <v>27402507</v>
      </c>
      <c r="M538" s="3">
        <v>0.53109600000000001</v>
      </c>
      <c r="N538">
        <v>24193677</v>
      </c>
      <c r="O538" s="3">
        <v>0.46890399999999999</v>
      </c>
      <c r="P538">
        <v>0</v>
      </c>
      <c r="Q538" s="3">
        <v>0</v>
      </c>
      <c r="R538">
        <v>0</v>
      </c>
      <c r="S538" s="3">
        <v>0</v>
      </c>
    </row>
    <row r="539" spans="1:19" x14ac:dyDescent="0.3">
      <c r="A539" t="s">
        <v>515</v>
      </c>
      <c r="B539" t="s">
        <v>252</v>
      </c>
      <c r="C539" t="s">
        <v>140</v>
      </c>
      <c r="D539" s="1" t="s">
        <v>475</v>
      </c>
      <c r="F539" t="s">
        <v>432</v>
      </c>
      <c r="H539" t="s">
        <v>314</v>
      </c>
      <c r="I539">
        <v>72803647</v>
      </c>
      <c r="J539">
        <v>67990671</v>
      </c>
      <c r="K539" s="3">
        <v>0.93389100000000003</v>
      </c>
      <c r="L539">
        <v>38710487</v>
      </c>
      <c r="M539" s="3">
        <v>0.53171100000000004</v>
      </c>
      <c r="N539">
        <v>34093160</v>
      </c>
      <c r="O539" s="3">
        <v>0.46828900000000001</v>
      </c>
      <c r="P539">
        <v>0</v>
      </c>
      <c r="Q539" s="3">
        <v>0</v>
      </c>
      <c r="R539">
        <v>0</v>
      </c>
      <c r="S539" s="3">
        <v>0</v>
      </c>
    </row>
    <row r="540" spans="1:19" x14ac:dyDescent="0.3">
      <c r="A540" t="s">
        <v>515</v>
      </c>
      <c r="B540" t="s">
        <v>252</v>
      </c>
      <c r="C540" t="s">
        <v>140</v>
      </c>
      <c r="D540" s="1" t="s">
        <v>475</v>
      </c>
      <c r="F540" t="s">
        <v>407</v>
      </c>
      <c r="H540" t="s">
        <v>314</v>
      </c>
      <c r="I540">
        <v>52511666</v>
      </c>
      <c r="J540">
        <v>49051284</v>
      </c>
      <c r="K540" s="3">
        <v>0.93410300000000002</v>
      </c>
      <c r="L540">
        <v>27706873</v>
      </c>
      <c r="M540" s="3">
        <v>0.52763300000000002</v>
      </c>
      <c r="N540">
        <v>24804793</v>
      </c>
      <c r="O540" s="3">
        <v>0.47236699999999998</v>
      </c>
      <c r="P540">
        <v>0</v>
      </c>
      <c r="Q540" s="3">
        <v>0</v>
      </c>
      <c r="R540">
        <v>0</v>
      </c>
      <c r="S540" s="3">
        <v>0</v>
      </c>
    </row>
    <row r="541" spans="1:19" x14ac:dyDescent="0.3">
      <c r="A541" t="s">
        <v>515</v>
      </c>
      <c r="B541" t="s">
        <v>252</v>
      </c>
      <c r="C541" t="s">
        <v>140</v>
      </c>
      <c r="D541" s="1" t="s">
        <v>475</v>
      </c>
      <c r="F541" t="s">
        <v>400</v>
      </c>
      <c r="H541" t="s">
        <v>314</v>
      </c>
      <c r="I541">
        <v>54017087</v>
      </c>
      <c r="J541">
        <v>50563936</v>
      </c>
      <c r="K541" s="3">
        <v>0.93607300000000004</v>
      </c>
      <c r="L541">
        <v>28562854</v>
      </c>
      <c r="M541" s="3">
        <v>0.52877399999999997</v>
      </c>
      <c r="N541">
        <v>25454233</v>
      </c>
      <c r="O541" s="3">
        <v>0.47122599999999998</v>
      </c>
      <c r="P541">
        <v>0</v>
      </c>
      <c r="Q541" s="3">
        <v>0</v>
      </c>
      <c r="R541">
        <v>0</v>
      </c>
      <c r="S541" s="3">
        <v>0</v>
      </c>
    </row>
    <row r="542" spans="1:19" x14ac:dyDescent="0.3">
      <c r="A542" t="s">
        <v>515</v>
      </c>
      <c r="B542" t="s">
        <v>252</v>
      </c>
      <c r="C542" t="s">
        <v>140</v>
      </c>
      <c r="D542" s="1" t="s">
        <v>475</v>
      </c>
      <c r="F542" t="s">
        <v>416</v>
      </c>
      <c r="H542" t="s">
        <v>314</v>
      </c>
      <c r="I542">
        <v>56832182</v>
      </c>
      <c r="J542">
        <v>53223208</v>
      </c>
      <c r="K542" s="3">
        <v>0.93649800000000005</v>
      </c>
      <c r="L542">
        <v>30651558</v>
      </c>
      <c r="M542" s="3">
        <v>0.53933500000000001</v>
      </c>
      <c r="N542">
        <v>26180624</v>
      </c>
      <c r="O542" s="3">
        <v>0.46066499999999999</v>
      </c>
      <c r="P542">
        <v>0</v>
      </c>
      <c r="Q542" s="3">
        <v>0</v>
      </c>
      <c r="R542">
        <v>0</v>
      </c>
      <c r="S542" s="3">
        <v>0</v>
      </c>
    </row>
    <row r="543" spans="1:19" x14ac:dyDescent="0.3">
      <c r="A543" t="s">
        <v>515</v>
      </c>
      <c r="B543" t="s">
        <v>252</v>
      </c>
      <c r="C543" t="s">
        <v>140</v>
      </c>
      <c r="D543" s="1" t="s">
        <v>475</v>
      </c>
      <c r="F543" t="s">
        <v>451</v>
      </c>
      <c r="H543" t="s">
        <v>314</v>
      </c>
      <c r="I543">
        <v>26451206</v>
      </c>
      <c r="J543">
        <v>24783888</v>
      </c>
      <c r="K543" s="3">
        <v>0.93696599999999997</v>
      </c>
      <c r="L543">
        <v>14168451</v>
      </c>
      <c r="M543" s="3">
        <v>0.53564500000000004</v>
      </c>
      <c r="N543">
        <v>12282755</v>
      </c>
      <c r="O543" s="3">
        <v>0.46435500000000002</v>
      </c>
      <c r="P543">
        <v>0</v>
      </c>
      <c r="Q543" s="3">
        <v>0</v>
      </c>
      <c r="R543">
        <v>0</v>
      </c>
      <c r="S543" s="3">
        <v>0</v>
      </c>
    </row>
    <row r="544" spans="1:19" x14ac:dyDescent="0.3">
      <c r="A544" t="s">
        <v>515</v>
      </c>
      <c r="B544" t="s">
        <v>252</v>
      </c>
      <c r="C544" t="s">
        <v>140</v>
      </c>
      <c r="D544" s="1" t="s">
        <v>475</v>
      </c>
      <c r="F544" t="s">
        <v>420</v>
      </c>
      <c r="H544" t="s">
        <v>314</v>
      </c>
      <c r="I544">
        <v>48923873</v>
      </c>
      <c r="J544">
        <v>45842034</v>
      </c>
      <c r="K544" s="3">
        <v>0.93700700000000003</v>
      </c>
      <c r="L544">
        <v>25919814</v>
      </c>
      <c r="M544" s="3">
        <v>0.52979900000000002</v>
      </c>
      <c r="N544">
        <v>23004059</v>
      </c>
      <c r="O544" s="3">
        <v>0.47020099999999998</v>
      </c>
      <c r="P544">
        <v>0</v>
      </c>
      <c r="Q544" s="3">
        <v>0</v>
      </c>
      <c r="R544">
        <v>0</v>
      </c>
      <c r="S544" s="3">
        <v>0</v>
      </c>
    </row>
    <row r="545" spans="1:19" x14ac:dyDescent="0.3">
      <c r="A545" t="s">
        <v>515</v>
      </c>
      <c r="B545" t="s">
        <v>252</v>
      </c>
      <c r="C545" t="s">
        <v>140</v>
      </c>
      <c r="D545" s="1" t="s">
        <v>475</v>
      </c>
      <c r="F545" t="s">
        <v>406</v>
      </c>
      <c r="H545" t="s">
        <v>314</v>
      </c>
      <c r="I545">
        <v>57312344</v>
      </c>
      <c r="J545">
        <v>53711884</v>
      </c>
      <c r="K545" s="3">
        <v>0.93717799999999996</v>
      </c>
      <c r="L545">
        <v>30341600</v>
      </c>
      <c r="M545" s="3">
        <v>0.52940799999999999</v>
      </c>
      <c r="N545">
        <v>26970744</v>
      </c>
      <c r="O545" s="3">
        <v>0.47059200000000001</v>
      </c>
      <c r="P545">
        <v>0</v>
      </c>
      <c r="Q545" s="3">
        <v>0</v>
      </c>
      <c r="R545">
        <v>0</v>
      </c>
      <c r="S545" s="3">
        <v>0</v>
      </c>
    </row>
    <row r="546" spans="1:19" x14ac:dyDescent="0.3">
      <c r="A546" t="s">
        <v>515</v>
      </c>
      <c r="B546" t="s">
        <v>252</v>
      </c>
      <c r="C546" t="s">
        <v>140</v>
      </c>
      <c r="D546" s="1" t="s">
        <v>475</v>
      </c>
      <c r="F546" t="s">
        <v>388</v>
      </c>
      <c r="H546" t="s">
        <v>314</v>
      </c>
      <c r="I546">
        <v>49484759</v>
      </c>
      <c r="J546">
        <v>46390267</v>
      </c>
      <c r="K546" s="3">
        <v>0.93746600000000002</v>
      </c>
      <c r="L546">
        <v>26328368</v>
      </c>
      <c r="M546" s="3">
        <v>0.53205000000000002</v>
      </c>
      <c r="N546">
        <v>23156391</v>
      </c>
      <c r="O546" s="3">
        <v>0.46794999999999998</v>
      </c>
      <c r="P546">
        <v>0</v>
      </c>
      <c r="Q546" s="3">
        <v>0</v>
      </c>
      <c r="R546">
        <v>0</v>
      </c>
      <c r="S546" s="3">
        <v>0</v>
      </c>
    </row>
    <row r="547" spans="1:19" x14ac:dyDescent="0.3">
      <c r="A547" t="s">
        <v>515</v>
      </c>
      <c r="B547" t="s">
        <v>252</v>
      </c>
      <c r="C547" t="s">
        <v>140</v>
      </c>
      <c r="D547" s="1" t="s">
        <v>475</v>
      </c>
      <c r="F547" t="s">
        <v>415</v>
      </c>
      <c r="H547" t="s">
        <v>314</v>
      </c>
      <c r="I547">
        <v>60474119</v>
      </c>
      <c r="J547">
        <v>56712114</v>
      </c>
      <c r="K547" s="3">
        <v>0.93779100000000004</v>
      </c>
      <c r="L547">
        <v>32006603</v>
      </c>
      <c r="M547" s="3">
        <v>0.52926099999999998</v>
      </c>
      <c r="N547">
        <v>28467516</v>
      </c>
      <c r="O547" s="3">
        <v>0.47073900000000002</v>
      </c>
      <c r="P547">
        <v>0</v>
      </c>
      <c r="Q547" s="3">
        <v>0</v>
      </c>
      <c r="R547">
        <v>0</v>
      </c>
      <c r="S547" s="3">
        <v>0</v>
      </c>
    </row>
    <row r="548" spans="1:19" x14ac:dyDescent="0.3">
      <c r="A548" t="s">
        <v>515</v>
      </c>
      <c r="B548" t="s">
        <v>252</v>
      </c>
      <c r="C548" t="s">
        <v>140</v>
      </c>
      <c r="D548" s="1" t="s">
        <v>475</v>
      </c>
      <c r="F548" t="s">
        <v>430</v>
      </c>
      <c r="H548" t="s">
        <v>314</v>
      </c>
      <c r="I548">
        <v>72227019</v>
      </c>
      <c r="J548">
        <v>67735306</v>
      </c>
      <c r="K548" s="3">
        <v>0.93781099999999995</v>
      </c>
      <c r="L548">
        <v>38352168</v>
      </c>
      <c r="M548" s="3">
        <v>0.53099499999999999</v>
      </c>
      <c r="N548">
        <v>33874851</v>
      </c>
      <c r="O548" s="3">
        <v>0.46900500000000001</v>
      </c>
      <c r="P548">
        <v>0</v>
      </c>
      <c r="Q548" s="3">
        <v>0</v>
      </c>
      <c r="R548">
        <v>0</v>
      </c>
      <c r="S548" s="3">
        <v>0</v>
      </c>
    </row>
    <row r="549" spans="1:19" x14ac:dyDescent="0.3">
      <c r="A549" t="s">
        <v>515</v>
      </c>
      <c r="B549" t="s">
        <v>252</v>
      </c>
      <c r="C549" t="s">
        <v>140</v>
      </c>
      <c r="D549" s="1" t="s">
        <v>475</v>
      </c>
      <c r="F549" t="s">
        <v>419</v>
      </c>
      <c r="H549" t="s">
        <v>314</v>
      </c>
      <c r="I549">
        <v>55562273</v>
      </c>
      <c r="J549">
        <v>52113713</v>
      </c>
      <c r="K549" s="3">
        <v>0.93793300000000002</v>
      </c>
      <c r="L549">
        <v>29500915</v>
      </c>
      <c r="M549" s="3">
        <v>0.53095199999999998</v>
      </c>
      <c r="N549">
        <v>26061358</v>
      </c>
      <c r="O549" s="3">
        <v>0.46904800000000002</v>
      </c>
      <c r="P549">
        <v>0</v>
      </c>
      <c r="Q549" s="3">
        <v>0</v>
      </c>
      <c r="R549">
        <v>0</v>
      </c>
      <c r="S549" s="3">
        <v>0</v>
      </c>
    </row>
    <row r="550" spans="1:19" x14ac:dyDescent="0.3">
      <c r="A550" t="s">
        <v>515</v>
      </c>
      <c r="B550" t="s">
        <v>252</v>
      </c>
      <c r="C550" t="s">
        <v>140</v>
      </c>
      <c r="D550" s="1" t="s">
        <v>475</v>
      </c>
      <c r="F550" t="s">
        <v>390</v>
      </c>
      <c r="H550" t="s">
        <v>314</v>
      </c>
      <c r="I550">
        <v>55584794</v>
      </c>
      <c r="J550">
        <v>52144635</v>
      </c>
      <c r="K550" s="3">
        <v>0.93811</v>
      </c>
      <c r="L550">
        <v>29334135</v>
      </c>
      <c r="M550" s="3">
        <v>0.52773700000000001</v>
      </c>
      <c r="N550">
        <v>26250659</v>
      </c>
      <c r="O550" s="3">
        <v>0.47226299999999999</v>
      </c>
      <c r="P550">
        <v>0</v>
      </c>
      <c r="Q550" s="3">
        <v>0</v>
      </c>
      <c r="R550">
        <v>0</v>
      </c>
      <c r="S550" s="3">
        <v>0</v>
      </c>
    </row>
    <row r="551" spans="1:19" x14ac:dyDescent="0.3">
      <c r="A551" t="s">
        <v>515</v>
      </c>
      <c r="B551" t="s">
        <v>252</v>
      </c>
      <c r="C551" t="s">
        <v>140</v>
      </c>
      <c r="D551" s="1" t="s">
        <v>475</v>
      </c>
      <c r="F551" t="s">
        <v>395</v>
      </c>
      <c r="H551" t="s">
        <v>314</v>
      </c>
      <c r="I551">
        <v>64145518</v>
      </c>
      <c r="J551">
        <v>60185928</v>
      </c>
      <c r="K551" s="3">
        <v>0.93827199999999999</v>
      </c>
      <c r="L551">
        <v>33982288</v>
      </c>
      <c r="M551" s="3">
        <v>0.52976900000000005</v>
      </c>
      <c r="N551">
        <v>30163230</v>
      </c>
      <c r="O551" s="3">
        <v>0.47023100000000001</v>
      </c>
      <c r="P551">
        <v>0</v>
      </c>
      <c r="Q551" s="3">
        <v>0</v>
      </c>
      <c r="R551">
        <v>0</v>
      </c>
      <c r="S551" s="3">
        <v>0</v>
      </c>
    </row>
    <row r="552" spans="1:19" x14ac:dyDescent="0.3">
      <c r="A552" t="s">
        <v>515</v>
      </c>
      <c r="B552" t="s">
        <v>252</v>
      </c>
      <c r="C552" t="s">
        <v>140</v>
      </c>
      <c r="D552" s="1" t="s">
        <v>475</v>
      </c>
      <c r="F552" t="s">
        <v>469</v>
      </c>
      <c r="H552" t="s">
        <v>314</v>
      </c>
      <c r="I552">
        <v>42745750</v>
      </c>
      <c r="J552">
        <v>40110982</v>
      </c>
      <c r="K552" s="3">
        <v>0.93836200000000003</v>
      </c>
      <c r="L552">
        <v>22683875</v>
      </c>
      <c r="M552" s="3">
        <v>0.53066999999999998</v>
      </c>
      <c r="N552">
        <v>20061875</v>
      </c>
      <c r="O552" s="3">
        <v>0.46933000000000002</v>
      </c>
      <c r="P552">
        <v>0</v>
      </c>
      <c r="Q552" s="3">
        <v>0</v>
      </c>
      <c r="R552">
        <v>0</v>
      </c>
      <c r="S552" s="3">
        <v>0</v>
      </c>
    </row>
    <row r="553" spans="1:19" x14ac:dyDescent="0.3">
      <c r="A553" t="s">
        <v>515</v>
      </c>
      <c r="B553" t="s">
        <v>252</v>
      </c>
      <c r="C553" t="s">
        <v>140</v>
      </c>
      <c r="D553" s="1" t="s">
        <v>475</v>
      </c>
      <c r="F553" t="s">
        <v>393</v>
      </c>
      <c r="H553" t="s">
        <v>314</v>
      </c>
      <c r="I553">
        <v>70392107</v>
      </c>
      <c r="J553">
        <v>66069741</v>
      </c>
      <c r="K553" s="3">
        <v>0.93859599999999999</v>
      </c>
      <c r="L553">
        <v>37202890</v>
      </c>
      <c r="M553" s="3">
        <v>0.52850900000000001</v>
      </c>
      <c r="N553">
        <v>33189217</v>
      </c>
      <c r="O553" s="3">
        <v>0.47149099999999999</v>
      </c>
      <c r="P553">
        <v>0</v>
      </c>
      <c r="Q553" s="3">
        <v>0</v>
      </c>
      <c r="R553">
        <v>0</v>
      </c>
      <c r="S553" s="3">
        <v>0</v>
      </c>
    </row>
    <row r="554" spans="1:19" x14ac:dyDescent="0.3">
      <c r="A554" t="s">
        <v>515</v>
      </c>
      <c r="B554" t="s">
        <v>252</v>
      </c>
      <c r="C554" t="s">
        <v>140</v>
      </c>
      <c r="D554" s="1" t="s">
        <v>475</v>
      </c>
      <c r="F554" t="s">
        <v>401</v>
      </c>
      <c r="H554" t="s">
        <v>314</v>
      </c>
      <c r="I554">
        <v>51081852</v>
      </c>
      <c r="J554">
        <v>47954769</v>
      </c>
      <c r="K554" s="3">
        <v>0.93878300000000003</v>
      </c>
      <c r="L554">
        <v>27084493</v>
      </c>
      <c r="M554" s="3">
        <v>0.53021799999999997</v>
      </c>
      <c r="N554">
        <v>23997359</v>
      </c>
      <c r="O554" s="3">
        <v>0.46978199999999998</v>
      </c>
      <c r="P554">
        <v>0</v>
      </c>
      <c r="Q554" s="3">
        <v>0</v>
      </c>
      <c r="R554">
        <v>0</v>
      </c>
      <c r="S554" s="3">
        <v>0</v>
      </c>
    </row>
    <row r="555" spans="1:19" x14ac:dyDescent="0.3">
      <c r="A555" t="s">
        <v>515</v>
      </c>
      <c r="B555" t="s">
        <v>252</v>
      </c>
      <c r="C555" t="s">
        <v>140</v>
      </c>
      <c r="D555" s="1" t="s">
        <v>475</v>
      </c>
      <c r="F555" t="s">
        <v>462</v>
      </c>
      <c r="H555" t="s">
        <v>314</v>
      </c>
      <c r="I555">
        <v>33699839</v>
      </c>
      <c r="J555">
        <v>31643751</v>
      </c>
      <c r="K555" s="3">
        <v>0.93898800000000004</v>
      </c>
      <c r="L555">
        <v>17890830</v>
      </c>
      <c r="M555" s="3">
        <v>0.53088800000000003</v>
      </c>
      <c r="N555">
        <v>15809009</v>
      </c>
      <c r="O555" s="3">
        <v>0.46911199999999997</v>
      </c>
      <c r="P555">
        <v>0</v>
      </c>
      <c r="Q555" s="3">
        <v>0</v>
      </c>
      <c r="R555">
        <v>0</v>
      </c>
      <c r="S555" s="3">
        <v>0</v>
      </c>
    </row>
    <row r="556" spans="1:19" x14ac:dyDescent="0.3">
      <c r="A556" t="s">
        <v>515</v>
      </c>
      <c r="B556" t="s">
        <v>252</v>
      </c>
      <c r="C556" t="s">
        <v>140</v>
      </c>
      <c r="D556" s="1" t="s">
        <v>475</v>
      </c>
      <c r="F556" t="s">
        <v>444</v>
      </c>
      <c r="H556" t="s">
        <v>314</v>
      </c>
      <c r="I556">
        <v>32965525</v>
      </c>
      <c r="J556">
        <v>30959605</v>
      </c>
      <c r="K556" s="3">
        <v>0.93915099999999996</v>
      </c>
      <c r="L556">
        <v>17686854</v>
      </c>
      <c r="M556" s="3">
        <v>0.53652599999999995</v>
      </c>
      <c r="N556">
        <v>15278671</v>
      </c>
      <c r="O556" s="3">
        <v>0.463474</v>
      </c>
      <c r="P556">
        <v>0</v>
      </c>
      <c r="Q556" s="3">
        <v>0</v>
      </c>
      <c r="R556">
        <v>0</v>
      </c>
      <c r="S556" s="3">
        <v>0</v>
      </c>
    </row>
    <row r="557" spans="1:19" x14ac:dyDescent="0.3">
      <c r="A557" t="s">
        <v>515</v>
      </c>
      <c r="B557" t="s">
        <v>252</v>
      </c>
      <c r="C557" t="s">
        <v>140</v>
      </c>
      <c r="D557" s="1" t="s">
        <v>475</v>
      </c>
      <c r="F557" t="s">
        <v>425</v>
      </c>
      <c r="H557" t="s">
        <v>314</v>
      </c>
      <c r="I557">
        <v>61888267</v>
      </c>
      <c r="J557">
        <v>58137117</v>
      </c>
      <c r="K557" s="3">
        <v>0.939388</v>
      </c>
      <c r="L557">
        <v>32787613</v>
      </c>
      <c r="M557" s="3">
        <v>0.52978700000000001</v>
      </c>
      <c r="N557">
        <v>29100654</v>
      </c>
      <c r="O557" s="3">
        <v>0.47021299999999999</v>
      </c>
      <c r="P557">
        <v>0</v>
      </c>
      <c r="Q557" s="3">
        <v>0</v>
      </c>
      <c r="R557">
        <v>0</v>
      </c>
      <c r="S557" s="3">
        <v>0</v>
      </c>
    </row>
    <row r="558" spans="1:19" x14ac:dyDescent="0.3">
      <c r="A558" t="s">
        <v>515</v>
      </c>
      <c r="B558" t="s">
        <v>252</v>
      </c>
      <c r="C558" t="s">
        <v>140</v>
      </c>
      <c r="D558" s="1" t="s">
        <v>475</v>
      </c>
      <c r="F558" t="s">
        <v>470</v>
      </c>
      <c r="H558" t="s">
        <v>314</v>
      </c>
      <c r="I558">
        <v>37105829</v>
      </c>
      <c r="J558">
        <v>34865716</v>
      </c>
      <c r="K558" s="3">
        <v>0.93962900000000005</v>
      </c>
      <c r="L558">
        <v>19715230</v>
      </c>
      <c r="M558" s="3">
        <v>0.53132400000000002</v>
      </c>
      <c r="N558">
        <v>17390599</v>
      </c>
      <c r="O558" s="3">
        <v>0.46867599999999998</v>
      </c>
      <c r="P558">
        <v>0</v>
      </c>
      <c r="Q558" s="3">
        <v>0</v>
      </c>
      <c r="R558">
        <v>0</v>
      </c>
      <c r="S558" s="3">
        <v>0</v>
      </c>
    </row>
    <row r="559" spans="1:19" x14ac:dyDescent="0.3">
      <c r="A559" t="s">
        <v>515</v>
      </c>
      <c r="B559" t="s">
        <v>252</v>
      </c>
      <c r="C559" t="s">
        <v>140</v>
      </c>
      <c r="D559" s="1" t="s">
        <v>475</v>
      </c>
      <c r="F559" t="s">
        <v>424</v>
      </c>
      <c r="H559" t="s">
        <v>314</v>
      </c>
      <c r="I559">
        <v>61228493</v>
      </c>
      <c r="J559">
        <v>57537032</v>
      </c>
      <c r="K559" s="3">
        <v>0.93971000000000005</v>
      </c>
      <c r="L559">
        <v>32255116</v>
      </c>
      <c r="M559" s="3">
        <v>0.52679900000000002</v>
      </c>
      <c r="N559">
        <v>28973377</v>
      </c>
      <c r="O559" s="3">
        <v>0.47320099999999998</v>
      </c>
      <c r="P559">
        <v>0</v>
      </c>
      <c r="Q559" s="3">
        <v>0</v>
      </c>
      <c r="R559">
        <v>0</v>
      </c>
      <c r="S559" s="3">
        <v>0</v>
      </c>
    </row>
    <row r="560" spans="1:19" x14ac:dyDescent="0.3">
      <c r="A560" t="s">
        <v>515</v>
      </c>
      <c r="B560" t="s">
        <v>252</v>
      </c>
      <c r="C560" t="s">
        <v>140</v>
      </c>
      <c r="D560" s="1" t="s">
        <v>475</v>
      </c>
      <c r="F560" t="s">
        <v>421</v>
      </c>
      <c r="H560" t="s">
        <v>314</v>
      </c>
      <c r="I560">
        <v>51390734</v>
      </c>
      <c r="J560">
        <v>48299368</v>
      </c>
      <c r="K560" s="3">
        <v>0.93984599999999996</v>
      </c>
      <c r="L560">
        <v>27246226</v>
      </c>
      <c r="M560" s="3">
        <v>0.53017800000000004</v>
      </c>
      <c r="N560">
        <v>24144508</v>
      </c>
      <c r="O560" s="3">
        <v>0.46982200000000002</v>
      </c>
      <c r="P560">
        <v>0</v>
      </c>
      <c r="Q560" s="3">
        <v>0</v>
      </c>
      <c r="R560">
        <v>0</v>
      </c>
      <c r="S560" s="3">
        <v>0</v>
      </c>
    </row>
    <row r="561" spans="1:19" x14ac:dyDescent="0.3">
      <c r="A561" t="s">
        <v>515</v>
      </c>
      <c r="B561" t="s">
        <v>252</v>
      </c>
      <c r="C561" t="s">
        <v>140</v>
      </c>
      <c r="D561" s="1" t="s">
        <v>475</v>
      </c>
      <c r="F561" t="s">
        <v>381</v>
      </c>
      <c r="H561" t="s">
        <v>314</v>
      </c>
      <c r="I561">
        <v>46901718</v>
      </c>
      <c r="J561">
        <v>44093797</v>
      </c>
      <c r="K561" s="3">
        <v>0.94013199999999997</v>
      </c>
      <c r="L561">
        <v>25967607</v>
      </c>
      <c r="M561" s="3">
        <v>0.55366000000000004</v>
      </c>
      <c r="N561">
        <v>20934111</v>
      </c>
      <c r="O561" s="3">
        <v>0.44634000000000001</v>
      </c>
      <c r="P561">
        <v>0</v>
      </c>
      <c r="Q561" s="3">
        <v>0</v>
      </c>
      <c r="R561">
        <v>0</v>
      </c>
      <c r="S561" s="3">
        <v>0</v>
      </c>
    </row>
    <row r="562" spans="1:19" x14ac:dyDescent="0.3">
      <c r="A562" t="s">
        <v>515</v>
      </c>
      <c r="B562" t="s">
        <v>252</v>
      </c>
      <c r="C562" t="s">
        <v>140</v>
      </c>
      <c r="D562" s="1" t="s">
        <v>475</v>
      </c>
      <c r="F562" t="s">
        <v>417</v>
      </c>
      <c r="H562" t="s">
        <v>314</v>
      </c>
      <c r="I562">
        <v>59337615</v>
      </c>
      <c r="J562">
        <v>55795623</v>
      </c>
      <c r="K562" s="3">
        <v>0.94030800000000003</v>
      </c>
      <c r="L562">
        <v>31350538</v>
      </c>
      <c r="M562" s="3">
        <v>0.52834199999999998</v>
      </c>
      <c r="N562">
        <v>27987077</v>
      </c>
      <c r="O562" s="3">
        <v>0.47165800000000002</v>
      </c>
      <c r="P562">
        <v>0</v>
      </c>
      <c r="Q562" s="3">
        <v>0</v>
      </c>
      <c r="R562">
        <v>0</v>
      </c>
      <c r="S562" s="3">
        <v>0</v>
      </c>
    </row>
    <row r="563" spans="1:19" x14ac:dyDescent="0.3">
      <c r="A563" t="s">
        <v>515</v>
      </c>
      <c r="B563" t="s">
        <v>252</v>
      </c>
      <c r="C563" t="s">
        <v>140</v>
      </c>
      <c r="D563" s="1" t="s">
        <v>475</v>
      </c>
      <c r="F563" t="s">
        <v>408</v>
      </c>
      <c r="H563" t="s">
        <v>314</v>
      </c>
      <c r="I563">
        <v>58009070</v>
      </c>
      <c r="J563">
        <v>54570970</v>
      </c>
      <c r="K563" s="3">
        <v>0.94073200000000001</v>
      </c>
      <c r="L563">
        <v>30717231</v>
      </c>
      <c r="M563" s="3">
        <v>0.52952500000000002</v>
      </c>
      <c r="N563">
        <v>27291839</v>
      </c>
      <c r="O563" s="3">
        <v>0.47047499999999998</v>
      </c>
      <c r="P563">
        <v>0</v>
      </c>
      <c r="Q563" s="3">
        <v>0</v>
      </c>
      <c r="R563">
        <v>0</v>
      </c>
      <c r="S563" s="3">
        <v>0</v>
      </c>
    </row>
    <row r="564" spans="1:19" x14ac:dyDescent="0.3">
      <c r="A564" t="s">
        <v>515</v>
      </c>
      <c r="B564" t="s">
        <v>252</v>
      </c>
      <c r="C564" t="s">
        <v>140</v>
      </c>
      <c r="D564" s="1" t="s">
        <v>475</v>
      </c>
      <c r="F564" t="s">
        <v>413</v>
      </c>
      <c r="H564" t="s">
        <v>314</v>
      </c>
      <c r="I564">
        <v>56613852</v>
      </c>
      <c r="J564">
        <v>53264366</v>
      </c>
      <c r="K564" s="3">
        <v>0.94083600000000001</v>
      </c>
      <c r="L564">
        <v>29956767</v>
      </c>
      <c r="M564" s="3">
        <v>0.529142</v>
      </c>
      <c r="N564">
        <v>26657085</v>
      </c>
      <c r="O564" s="3">
        <v>0.470858</v>
      </c>
      <c r="P564">
        <v>0</v>
      </c>
      <c r="Q564" s="3">
        <v>0</v>
      </c>
      <c r="R564">
        <v>0</v>
      </c>
      <c r="S564" s="3">
        <v>0</v>
      </c>
    </row>
    <row r="565" spans="1:19" x14ac:dyDescent="0.3">
      <c r="A565" t="s">
        <v>515</v>
      </c>
      <c r="B565" t="s">
        <v>252</v>
      </c>
      <c r="C565" t="s">
        <v>140</v>
      </c>
      <c r="D565" s="1" t="s">
        <v>475</v>
      </c>
      <c r="F565" t="s">
        <v>386</v>
      </c>
      <c r="H565" t="s">
        <v>314</v>
      </c>
      <c r="I565">
        <v>59259822</v>
      </c>
      <c r="J565">
        <v>55756150</v>
      </c>
      <c r="K565" s="3">
        <v>0.94087600000000005</v>
      </c>
      <c r="L565">
        <v>31327570</v>
      </c>
      <c r="M565" s="3">
        <v>0.52864800000000001</v>
      </c>
      <c r="N565">
        <v>27932252</v>
      </c>
      <c r="O565" s="3">
        <v>0.47135199999999999</v>
      </c>
      <c r="P565">
        <v>0</v>
      </c>
      <c r="Q565" s="3">
        <v>0</v>
      </c>
      <c r="R565">
        <v>0</v>
      </c>
      <c r="S565" s="3">
        <v>0</v>
      </c>
    </row>
    <row r="566" spans="1:19" x14ac:dyDescent="0.3">
      <c r="A566" t="s">
        <v>515</v>
      </c>
      <c r="B566" t="s">
        <v>252</v>
      </c>
      <c r="C566" t="s">
        <v>140</v>
      </c>
      <c r="D566" s="1" t="s">
        <v>475</v>
      </c>
      <c r="F566" t="s">
        <v>391</v>
      </c>
      <c r="H566" t="s">
        <v>314</v>
      </c>
      <c r="I566">
        <v>63196966</v>
      </c>
      <c r="J566">
        <v>59469709</v>
      </c>
      <c r="K566" s="3">
        <v>0.94102200000000003</v>
      </c>
      <c r="L566">
        <v>33313106</v>
      </c>
      <c r="M566" s="3">
        <v>0.52713100000000002</v>
      </c>
      <c r="N566">
        <v>29883860</v>
      </c>
      <c r="O566" s="3">
        <v>0.47286899999999998</v>
      </c>
      <c r="P566">
        <v>0</v>
      </c>
      <c r="Q566" s="3">
        <v>0</v>
      </c>
      <c r="R566">
        <v>0</v>
      </c>
      <c r="S566" s="3">
        <v>0</v>
      </c>
    </row>
    <row r="567" spans="1:19" x14ac:dyDescent="0.3">
      <c r="A567" t="s">
        <v>515</v>
      </c>
      <c r="B567" t="s">
        <v>252</v>
      </c>
      <c r="C567" t="s">
        <v>140</v>
      </c>
      <c r="D567" s="1" t="s">
        <v>475</v>
      </c>
      <c r="F567" t="s">
        <v>428</v>
      </c>
      <c r="H567" t="s">
        <v>314</v>
      </c>
      <c r="I567">
        <v>55878929</v>
      </c>
      <c r="J567">
        <v>52600616</v>
      </c>
      <c r="K567" s="3">
        <v>0.94133199999999995</v>
      </c>
      <c r="L567">
        <v>29579491</v>
      </c>
      <c r="M567" s="3">
        <v>0.52934999999999999</v>
      </c>
      <c r="N567">
        <v>26299438</v>
      </c>
      <c r="O567" s="3">
        <v>0.47065000000000001</v>
      </c>
      <c r="P567">
        <v>0</v>
      </c>
      <c r="Q567" s="3">
        <v>0</v>
      </c>
      <c r="R567">
        <v>0</v>
      </c>
      <c r="S567" s="3">
        <v>0</v>
      </c>
    </row>
    <row r="568" spans="1:19" x14ac:dyDescent="0.3">
      <c r="A568" t="s">
        <v>515</v>
      </c>
      <c r="B568" t="s">
        <v>252</v>
      </c>
      <c r="C568" t="s">
        <v>140</v>
      </c>
      <c r="D568" s="1" t="s">
        <v>475</v>
      </c>
      <c r="F568" t="s">
        <v>471</v>
      </c>
      <c r="H568" t="s">
        <v>314</v>
      </c>
      <c r="I568">
        <v>38559979</v>
      </c>
      <c r="J568">
        <v>36301271</v>
      </c>
      <c r="K568" s="3">
        <v>0.94142400000000004</v>
      </c>
      <c r="L568">
        <v>20664944</v>
      </c>
      <c r="M568" s="3">
        <v>0.53591699999999998</v>
      </c>
      <c r="N568">
        <v>17895035</v>
      </c>
      <c r="O568" s="3">
        <v>0.46408300000000002</v>
      </c>
      <c r="P568">
        <v>0</v>
      </c>
      <c r="Q568" s="3">
        <v>0</v>
      </c>
      <c r="R568">
        <v>0</v>
      </c>
      <c r="S568" s="3">
        <v>0</v>
      </c>
    </row>
    <row r="569" spans="1:19" x14ac:dyDescent="0.3">
      <c r="A569" t="s">
        <v>515</v>
      </c>
      <c r="B569" t="s">
        <v>252</v>
      </c>
      <c r="C569" t="s">
        <v>140</v>
      </c>
      <c r="D569" s="1" t="s">
        <v>475</v>
      </c>
      <c r="F569" t="s">
        <v>418</v>
      </c>
      <c r="H569" t="s">
        <v>314</v>
      </c>
      <c r="I569">
        <v>59918370</v>
      </c>
      <c r="J569">
        <v>56410223</v>
      </c>
      <c r="K569" s="3">
        <v>0.94145100000000004</v>
      </c>
      <c r="L569">
        <v>31675429</v>
      </c>
      <c r="M569" s="3">
        <v>0.52864299999999997</v>
      </c>
      <c r="N569">
        <v>28242941</v>
      </c>
      <c r="O569" s="3">
        <v>0.47135700000000003</v>
      </c>
      <c r="P569">
        <v>0</v>
      </c>
      <c r="Q569" s="3">
        <v>0</v>
      </c>
      <c r="R569">
        <v>0</v>
      </c>
      <c r="S569" s="3">
        <v>0</v>
      </c>
    </row>
    <row r="570" spans="1:19" x14ac:dyDescent="0.3">
      <c r="A570" t="s">
        <v>515</v>
      </c>
      <c r="B570" t="s">
        <v>252</v>
      </c>
      <c r="C570" t="s">
        <v>140</v>
      </c>
      <c r="D570" s="1" t="s">
        <v>475</v>
      </c>
      <c r="F570" t="s">
        <v>422</v>
      </c>
      <c r="H570" t="s">
        <v>314</v>
      </c>
      <c r="I570">
        <v>58196125</v>
      </c>
      <c r="J570">
        <v>54794474</v>
      </c>
      <c r="K570" s="3">
        <v>0.94154800000000005</v>
      </c>
      <c r="L570">
        <v>30806488</v>
      </c>
      <c r="M570" s="3">
        <v>0.52935600000000005</v>
      </c>
      <c r="N570">
        <v>27389637</v>
      </c>
      <c r="O570" s="3">
        <v>0.47064400000000001</v>
      </c>
      <c r="P570">
        <v>0</v>
      </c>
      <c r="Q570" s="3">
        <v>0</v>
      </c>
      <c r="R570">
        <v>0</v>
      </c>
      <c r="S570" s="3">
        <v>0</v>
      </c>
    </row>
    <row r="571" spans="1:19" x14ac:dyDescent="0.3">
      <c r="A571" t="s">
        <v>515</v>
      </c>
      <c r="B571" t="s">
        <v>252</v>
      </c>
      <c r="C571" t="s">
        <v>140</v>
      </c>
      <c r="D571" s="1" t="s">
        <v>475</v>
      </c>
      <c r="F571" t="s">
        <v>398</v>
      </c>
      <c r="H571" t="s">
        <v>314</v>
      </c>
      <c r="I571">
        <v>57294037</v>
      </c>
      <c r="J571">
        <v>53947696</v>
      </c>
      <c r="K571" s="3">
        <v>0.94159400000000004</v>
      </c>
      <c r="L571">
        <v>30200742</v>
      </c>
      <c r="M571" s="3">
        <v>0.52711799999999998</v>
      </c>
      <c r="N571">
        <v>27093295</v>
      </c>
      <c r="O571" s="3">
        <v>0.47288200000000002</v>
      </c>
      <c r="P571">
        <v>0</v>
      </c>
      <c r="Q571" s="3">
        <v>0</v>
      </c>
      <c r="R571">
        <v>0</v>
      </c>
      <c r="S571" s="3">
        <v>0</v>
      </c>
    </row>
    <row r="572" spans="1:19" x14ac:dyDescent="0.3">
      <c r="A572" t="s">
        <v>515</v>
      </c>
      <c r="B572" t="s">
        <v>252</v>
      </c>
      <c r="C572" t="s">
        <v>140</v>
      </c>
      <c r="D572" s="1" t="s">
        <v>475</v>
      </c>
      <c r="F572" t="s">
        <v>411</v>
      </c>
      <c r="H572" t="s">
        <v>314</v>
      </c>
      <c r="I572">
        <v>55071091</v>
      </c>
      <c r="J572">
        <v>51858324</v>
      </c>
      <c r="K572" s="3">
        <v>0.94166099999999997</v>
      </c>
      <c r="L572">
        <v>29062705</v>
      </c>
      <c r="M572" s="3">
        <v>0.52773099999999995</v>
      </c>
      <c r="N572">
        <v>26008386</v>
      </c>
      <c r="O572" s="3">
        <v>0.47226899999999999</v>
      </c>
      <c r="P572">
        <v>0</v>
      </c>
      <c r="Q572" s="3">
        <v>0</v>
      </c>
      <c r="R572">
        <v>0</v>
      </c>
      <c r="S572" s="3">
        <v>0</v>
      </c>
    </row>
    <row r="573" spans="1:19" x14ac:dyDescent="0.3">
      <c r="A573" t="s">
        <v>515</v>
      </c>
      <c r="B573" t="s">
        <v>252</v>
      </c>
      <c r="C573" t="s">
        <v>140</v>
      </c>
      <c r="D573" s="1" t="s">
        <v>475</v>
      </c>
      <c r="F573" t="s">
        <v>423</v>
      </c>
      <c r="H573" t="s">
        <v>314</v>
      </c>
      <c r="I573">
        <v>59711216</v>
      </c>
      <c r="J573">
        <v>56239734</v>
      </c>
      <c r="K573" s="3">
        <v>0.94186199999999998</v>
      </c>
      <c r="L573">
        <v>31462345</v>
      </c>
      <c r="M573" s="3">
        <v>0.52690800000000004</v>
      </c>
      <c r="N573">
        <v>28248871</v>
      </c>
      <c r="O573" s="3">
        <v>0.47309200000000001</v>
      </c>
      <c r="P573">
        <v>0</v>
      </c>
      <c r="Q573" s="3">
        <v>0</v>
      </c>
      <c r="R573">
        <v>0</v>
      </c>
      <c r="S573" s="3">
        <v>0</v>
      </c>
    </row>
    <row r="574" spans="1:19" x14ac:dyDescent="0.3">
      <c r="A574" t="s">
        <v>515</v>
      </c>
      <c r="B574" t="s">
        <v>252</v>
      </c>
      <c r="C574" t="s">
        <v>140</v>
      </c>
      <c r="D574" s="1" t="s">
        <v>475</v>
      </c>
      <c r="F574" t="s">
        <v>409</v>
      </c>
      <c r="H574" t="s">
        <v>314</v>
      </c>
      <c r="I574">
        <v>58100441</v>
      </c>
      <c r="J574">
        <v>54725461</v>
      </c>
      <c r="K574" s="3">
        <v>0.94191100000000005</v>
      </c>
      <c r="L574">
        <v>30627868</v>
      </c>
      <c r="M574" s="3">
        <v>0.52715400000000001</v>
      </c>
      <c r="N574">
        <v>27472573</v>
      </c>
      <c r="O574" s="3">
        <v>0.47284599999999999</v>
      </c>
      <c r="P574">
        <v>0</v>
      </c>
      <c r="Q574" s="3">
        <v>0</v>
      </c>
      <c r="R574">
        <v>0</v>
      </c>
      <c r="S574" s="3">
        <v>0</v>
      </c>
    </row>
    <row r="575" spans="1:19" x14ac:dyDescent="0.3">
      <c r="A575" t="s">
        <v>515</v>
      </c>
      <c r="B575" t="s">
        <v>252</v>
      </c>
      <c r="C575" t="s">
        <v>140</v>
      </c>
      <c r="D575" s="1" t="s">
        <v>475</v>
      </c>
      <c r="F575" t="s">
        <v>389</v>
      </c>
      <c r="H575" t="s">
        <v>314</v>
      </c>
      <c r="I575">
        <v>60980897</v>
      </c>
      <c r="J575">
        <v>57440344</v>
      </c>
      <c r="K575" s="3">
        <v>0.94194</v>
      </c>
      <c r="L575">
        <v>32155589</v>
      </c>
      <c r="M575" s="3">
        <v>0.52730600000000005</v>
      </c>
      <c r="N575">
        <v>28825308</v>
      </c>
      <c r="O575" s="3">
        <v>0.472694</v>
      </c>
      <c r="P575">
        <v>0</v>
      </c>
      <c r="Q575" s="3">
        <v>0</v>
      </c>
      <c r="R575">
        <v>0</v>
      </c>
      <c r="S575" s="3">
        <v>0</v>
      </c>
    </row>
    <row r="576" spans="1:19" x14ac:dyDescent="0.3">
      <c r="A576" t="s">
        <v>515</v>
      </c>
      <c r="B576" t="s">
        <v>252</v>
      </c>
      <c r="C576" t="s">
        <v>140</v>
      </c>
      <c r="D576" s="1" t="s">
        <v>475</v>
      </c>
      <c r="F576" t="s">
        <v>431</v>
      </c>
      <c r="H576" t="s">
        <v>314</v>
      </c>
      <c r="I576">
        <v>56201646</v>
      </c>
      <c r="J576">
        <v>52945434</v>
      </c>
      <c r="K576" s="3">
        <v>0.94206199999999995</v>
      </c>
      <c r="L576">
        <v>29696445</v>
      </c>
      <c r="M576" s="3">
        <v>0.52839100000000006</v>
      </c>
      <c r="N576">
        <v>26505201</v>
      </c>
      <c r="O576" s="3">
        <v>0.471609</v>
      </c>
      <c r="P576">
        <v>0</v>
      </c>
      <c r="Q576" s="3">
        <v>0</v>
      </c>
      <c r="R576">
        <v>0</v>
      </c>
      <c r="S576" s="3">
        <v>0</v>
      </c>
    </row>
    <row r="577" spans="1:19" x14ac:dyDescent="0.3">
      <c r="A577" t="s">
        <v>515</v>
      </c>
      <c r="B577" t="s">
        <v>252</v>
      </c>
      <c r="C577" t="s">
        <v>140</v>
      </c>
      <c r="D577" s="1" t="s">
        <v>475</v>
      </c>
      <c r="F577" t="s">
        <v>384</v>
      </c>
      <c r="H577" t="s">
        <v>314</v>
      </c>
      <c r="I577">
        <v>44076925</v>
      </c>
      <c r="J577">
        <v>41526099</v>
      </c>
      <c r="K577" s="3">
        <v>0.94212799999999997</v>
      </c>
      <c r="L577">
        <v>24161300</v>
      </c>
      <c r="M577" s="3">
        <v>0.54816200000000004</v>
      </c>
      <c r="N577">
        <v>19915625</v>
      </c>
      <c r="O577" s="3">
        <v>0.45183800000000002</v>
      </c>
      <c r="P577">
        <v>0</v>
      </c>
      <c r="Q577" s="3">
        <v>0</v>
      </c>
      <c r="R577">
        <v>0</v>
      </c>
      <c r="S577" s="3">
        <v>0</v>
      </c>
    </row>
    <row r="578" spans="1:19" x14ac:dyDescent="0.3">
      <c r="A578" t="s">
        <v>515</v>
      </c>
      <c r="B578" t="s">
        <v>252</v>
      </c>
      <c r="C578" t="s">
        <v>140</v>
      </c>
      <c r="D578" s="1" t="s">
        <v>475</v>
      </c>
      <c r="F578" t="s">
        <v>467</v>
      </c>
      <c r="H578" t="s">
        <v>314</v>
      </c>
      <c r="I578">
        <v>25886795</v>
      </c>
      <c r="J578">
        <v>24396806</v>
      </c>
      <c r="K578" s="3">
        <v>0.942442</v>
      </c>
      <c r="L578">
        <v>13773637</v>
      </c>
      <c r="M578" s="3">
        <v>0.53207199999999999</v>
      </c>
      <c r="N578">
        <v>12113158</v>
      </c>
      <c r="O578" s="3">
        <v>0.46792800000000001</v>
      </c>
      <c r="P578">
        <v>0</v>
      </c>
      <c r="Q578" s="3">
        <v>0</v>
      </c>
      <c r="R578">
        <v>0</v>
      </c>
      <c r="S578" s="3">
        <v>0</v>
      </c>
    </row>
    <row r="579" spans="1:19" x14ac:dyDescent="0.3">
      <c r="A579" t="s">
        <v>515</v>
      </c>
      <c r="B579" t="s">
        <v>252</v>
      </c>
      <c r="C579" t="s">
        <v>140</v>
      </c>
      <c r="D579" s="1" t="s">
        <v>475</v>
      </c>
      <c r="F579" t="s">
        <v>454</v>
      </c>
      <c r="H579" t="s">
        <v>314</v>
      </c>
      <c r="I579">
        <v>46263826</v>
      </c>
      <c r="J579">
        <v>43602186</v>
      </c>
      <c r="K579" s="3">
        <v>0.94246799999999997</v>
      </c>
      <c r="L579">
        <v>24259672</v>
      </c>
      <c r="M579" s="3">
        <v>0.52437699999999998</v>
      </c>
      <c r="N579">
        <v>22004154</v>
      </c>
      <c r="O579" s="3">
        <v>0.47562300000000002</v>
      </c>
      <c r="P579">
        <v>0</v>
      </c>
      <c r="Q579" s="3">
        <v>0</v>
      </c>
      <c r="R579">
        <v>0</v>
      </c>
      <c r="S579" s="3">
        <v>0</v>
      </c>
    </row>
    <row r="580" spans="1:19" x14ac:dyDescent="0.3">
      <c r="A580" t="s">
        <v>515</v>
      </c>
      <c r="B580" t="s">
        <v>252</v>
      </c>
      <c r="C580" t="s">
        <v>140</v>
      </c>
      <c r="D580" s="1" t="s">
        <v>475</v>
      </c>
      <c r="F580" t="s">
        <v>397</v>
      </c>
      <c r="H580" t="s">
        <v>314</v>
      </c>
      <c r="I580">
        <v>60149827</v>
      </c>
      <c r="J580">
        <v>56701277</v>
      </c>
      <c r="K580" s="3">
        <v>0.94266700000000003</v>
      </c>
      <c r="L580">
        <v>31895496</v>
      </c>
      <c r="M580" s="3">
        <v>0.53026700000000004</v>
      </c>
      <c r="N580">
        <v>28254331</v>
      </c>
      <c r="O580" s="3">
        <v>0.46973300000000001</v>
      </c>
      <c r="P580">
        <v>0</v>
      </c>
      <c r="Q580" s="3">
        <v>0</v>
      </c>
      <c r="R580">
        <v>0</v>
      </c>
      <c r="S580" s="3">
        <v>0</v>
      </c>
    </row>
    <row r="581" spans="1:19" x14ac:dyDescent="0.3">
      <c r="A581" t="s">
        <v>515</v>
      </c>
      <c r="B581" t="s">
        <v>252</v>
      </c>
      <c r="C581" t="s">
        <v>140</v>
      </c>
      <c r="D581" s="1" t="s">
        <v>475</v>
      </c>
      <c r="F581" t="s">
        <v>383</v>
      </c>
      <c r="H581" t="s">
        <v>314</v>
      </c>
      <c r="I581">
        <v>45313933</v>
      </c>
      <c r="J581">
        <v>42717440</v>
      </c>
      <c r="K581" s="3">
        <v>0.94269999999999998</v>
      </c>
      <c r="L581">
        <v>24972538</v>
      </c>
      <c r="M581" s="3">
        <v>0.55110099999999995</v>
      </c>
      <c r="N581">
        <v>20341395</v>
      </c>
      <c r="O581" s="3">
        <v>0.44889899999999999</v>
      </c>
      <c r="P581">
        <v>0</v>
      </c>
      <c r="Q581" s="3">
        <v>0</v>
      </c>
      <c r="R581">
        <v>0</v>
      </c>
      <c r="S581" s="3">
        <v>0</v>
      </c>
    </row>
    <row r="582" spans="1:19" x14ac:dyDescent="0.3">
      <c r="A582" t="s">
        <v>515</v>
      </c>
      <c r="B582" t="s">
        <v>252</v>
      </c>
      <c r="C582" t="s">
        <v>140</v>
      </c>
      <c r="D582" s="1" t="s">
        <v>475</v>
      </c>
      <c r="F582" t="s">
        <v>404</v>
      </c>
      <c r="H582" t="s">
        <v>314</v>
      </c>
      <c r="I582">
        <v>54454070</v>
      </c>
      <c r="J582">
        <v>51339361</v>
      </c>
      <c r="K582" s="3">
        <v>0.942801</v>
      </c>
      <c r="L582">
        <v>28668107</v>
      </c>
      <c r="M582" s="3">
        <v>0.52646400000000004</v>
      </c>
      <c r="N582">
        <v>25785963</v>
      </c>
      <c r="O582" s="3">
        <v>0.47353600000000001</v>
      </c>
      <c r="P582">
        <v>0</v>
      </c>
      <c r="Q582" s="3">
        <v>0</v>
      </c>
      <c r="R582">
        <v>0</v>
      </c>
      <c r="S582" s="3">
        <v>0</v>
      </c>
    </row>
    <row r="583" spans="1:19" x14ac:dyDescent="0.3">
      <c r="A583" t="s">
        <v>515</v>
      </c>
      <c r="B583" t="s">
        <v>252</v>
      </c>
      <c r="C583" t="s">
        <v>140</v>
      </c>
      <c r="D583" s="1" t="s">
        <v>475</v>
      </c>
      <c r="F583" t="s">
        <v>429</v>
      </c>
      <c r="H583" t="s">
        <v>314</v>
      </c>
      <c r="I583">
        <v>61037939</v>
      </c>
      <c r="J583">
        <v>57560115</v>
      </c>
      <c r="K583" s="3">
        <v>0.94302200000000003</v>
      </c>
      <c r="L583">
        <v>32234683</v>
      </c>
      <c r="M583" s="3">
        <v>0.52810900000000005</v>
      </c>
      <c r="N583">
        <v>28803256</v>
      </c>
      <c r="O583" s="3">
        <v>0.471891</v>
      </c>
      <c r="P583">
        <v>0</v>
      </c>
      <c r="Q583" s="3">
        <v>0</v>
      </c>
      <c r="R583">
        <v>0</v>
      </c>
      <c r="S583" s="3">
        <v>0</v>
      </c>
    </row>
    <row r="584" spans="1:19" x14ac:dyDescent="0.3">
      <c r="A584" t="s">
        <v>515</v>
      </c>
      <c r="B584" t="s">
        <v>252</v>
      </c>
      <c r="C584" t="s">
        <v>140</v>
      </c>
      <c r="D584" s="1" t="s">
        <v>475</v>
      </c>
      <c r="F584" t="s">
        <v>385</v>
      </c>
      <c r="H584" t="s">
        <v>314</v>
      </c>
      <c r="I584">
        <v>56922086</v>
      </c>
      <c r="J584">
        <v>53703088</v>
      </c>
      <c r="K584" s="3">
        <v>0.94344899999999998</v>
      </c>
      <c r="L584">
        <v>29993097</v>
      </c>
      <c r="M584" s="3">
        <v>0.52691500000000002</v>
      </c>
      <c r="N584">
        <v>26928989</v>
      </c>
      <c r="O584" s="3">
        <v>0.47308499999999998</v>
      </c>
      <c r="P584">
        <v>0</v>
      </c>
      <c r="Q584" s="3">
        <v>0</v>
      </c>
      <c r="R584">
        <v>0</v>
      </c>
      <c r="S584" s="3">
        <v>0</v>
      </c>
    </row>
    <row r="585" spans="1:19" x14ac:dyDescent="0.3">
      <c r="A585" t="s">
        <v>515</v>
      </c>
      <c r="B585" t="s">
        <v>252</v>
      </c>
      <c r="C585" t="s">
        <v>140</v>
      </c>
      <c r="D585" s="1" t="s">
        <v>475</v>
      </c>
      <c r="F585" t="s">
        <v>394</v>
      </c>
      <c r="H585" t="s">
        <v>314</v>
      </c>
      <c r="I585">
        <v>59607304</v>
      </c>
      <c r="J585">
        <v>56237874</v>
      </c>
      <c r="K585" s="3">
        <v>0.94347300000000001</v>
      </c>
      <c r="L585">
        <v>31371309</v>
      </c>
      <c r="M585" s="3">
        <v>0.52629999999999999</v>
      </c>
      <c r="N585">
        <v>28235995</v>
      </c>
      <c r="O585" s="3">
        <v>0.47370000000000001</v>
      </c>
      <c r="P585">
        <v>0</v>
      </c>
      <c r="Q585" s="3">
        <v>0</v>
      </c>
      <c r="R585">
        <v>0</v>
      </c>
      <c r="S585" s="3">
        <v>0</v>
      </c>
    </row>
    <row r="586" spans="1:19" x14ac:dyDescent="0.3">
      <c r="A586" t="s">
        <v>515</v>
      </c>
      <c r="B586" t="s">
        <v>252</v>
      </c>
      <c r="C586" t="s">
        <v>140</v>
      </c>
      <c r="D586" s="1" t="s">
        <v>475</v>
      </c>
      <c r="F586" t="s">
        <v>448</v>
      </c>
      <c r="H586" t="s">
        <v>314</v>
      </c>
      <c r="I586">
        <v>39522172</v>
      </c>
      <c r="J586">
        <v>37290116</v>
      </c>
      <c r="K586" s="3">
        <v>0.94352400000000003</v>
      </c>
      <c r="L586">
        <v>20979146</v>
      </c>
      <c r="M586" s="3">
        <v>0.53081999999999996</v>
      </c>
      <c r="N586">
        <v>18543026</v>
      </c>
      <c r="O586" s="3">
        <v>0.46917999999999999</v>
      </c>
      <c r="P586">
        <v>0</v>
      </c>
      <c r="Q586" s="3">
        <v>0</v>
      </c>
      <c r="R586">
        <v>0</v>
      </c>
      <c r="S586" s="3">
        <v>0</v>
      </c>
    </row>
    <row r="587" spans="1:19" x14ac:dyDescent="0.3">
      <c r="A587" t="s">
        <v>515</v>
      </c>
      <c r="B587" t="s">
        <v>252</v>
      </c>
      <c r="C587" t="s">
        <v>140</v>
      </c>
      <c r="D587" s="1" t="s">
        <v>475</v>
      </c>
      <c r="F587" t="s">
        <v>442</v>
      </c>
      <c r="H587" t="s">
        <v>314</v>
      </c>
      <c r="I587">
        <v>29949108</v>
      </c>
      <c r="J587">
        <v>28258065</v>
      </c>
      <c r="K587" s="3">
        <v>0.94353600000000004</v>
      </c>
      <c r="L587">
        <v>15871909</v>
      </c>
      <c r="M587" s="3">
        <v>0.52996299999999996</v>
      </c>
      <c r="N587">
        <v>14077199</v>
      </c>
      <c r="O587" s="3">
        <v>0.47003699999999998</v>
      </c>
      <c r="P587">
        <v>0</v>
      </c>
      <c r="Q587" s="3">
        <v>0</v>
      </c>
      <c r="R587">
        <v>0</v>
      </c>
      <c r="S587" s="3">
        <v>0</v>
      </c>
    </row>
    <row r="588" spans="1:19" x14ac:dyDescent="0.3">
      <c r="A588" t="s">
        <v>515</v>
      </c>
      <c r="B588" t="s">
        <v>252</v>
      </c>
      <c r="C588" t="s">
        <v>140</v>
      </c>
      <c r="D588" s="1" t="s">
        <v>475</v>
      </c>
      <c r="F588" t="s">
        <v>427</v>
      </c>
      <c r="H588" t="s">
        <v>314</v>
      </c>
      <c r="I588">
        <v>58166499</v>
      </c>
      <c r="J588">
        <v>54883761</v>
      </c>
      <c r="K588" s="3">
        <v>0.94356300000000004</v>
      </c>
      <c r="L588">
        <v>30725394</v>
      </c>
      <c r="M588" s="3">
        <v>0.52823200000000003</v>
      </c>
      <c r="N588">
        <v>27441105</v>
      </c>
      <c r="O588" s="3">
        <v>0.47176800000000002</v>
      </c>
      <c r="P588">
        <v>0</v>
      </c>
      <c r="Q588" s="3">
        <v>0</v>
      </c>
      <c r="R588">
        <v>0</v>
      </c>
      <c r="S588" s="3">
        <v>0</v>
      </c>
    </row>
    <row r="589" spans="1:19" x14ac:dyDescent="0.3">
      <c r="A589" t="s">
        <v>515</v>
      </c>
      <c r="B589" t="s">
        <v>252</v>
      </c>
      <c r="C589" t="s">
        <v>140</v>
      </c>
      <c r="D589" s="1" t="s">
        <v>475</v>
      </c>
      <c r="F589" t="s">
        <v>399</v>
      </c>
      <c r="H589" t="s">
        <v>314</v>
      </c>
      <c r="I589">
        <v>54635844</v>
      </c>
      <c r="J589">
        <v>51552524</v>
      </c>
      <c r="K589" s="3">
        <v>0.94356600000000002</v>
      </c>
      <c r="L589">
        <v>28802690</v>
      </c>
      <c r="M589" s="3">
        <v>0.52717599999999998</v>
      </c>
      <c r="N589">
        <v>25833154</v>
      </c>
      <c r="O589" s="3">
        <v>0.47282400000000002</v>
      </c>
      <c r="P589">
        <v>0</v>
      </c>
      <c r="Q589" s="3">
        <v>0</v>
      </c>
      <c r="R589">
        <v>0</v>
      </c>
      <c r="S589" s="3">
        <v>0</v>
      </c>
    </row>
    <row r="590" spans="1:19" x14ac:dyDescent="0.3">
      <c r="A590" t="s">
        <v>515</v>
      </c>
      <c r="B590" t="s">
        <v>252</v>
      </c>
      <c r="C590" t="s">
        <v>140</v>
      </c>
      <c r="D590" s="1" t="s">
        <v>475</v>
      </c>
      <c r="F590" t="s">
        <v>396</v>
      </c>
      <c r="H590" t="s">
        <v>314</v>
      </c>
      <c r="I590">
        <v>55279177</v>
      </c>
      <c r="J590">
        <v>52167446</v>
      </c>
      <c r="K590" s="3">
        <v>0.94370900000000002</v>
      </c>
      <c r="L590">
        <v>28968258</v>
      </c>
      <c r="M590" s="3">
        <v>0.52403599999999995</v>
      </c>
      <c r="N590">
        <v>26310919</v>
      </c>
      <c r="O590" s="3">
        <v>0.475964</v>
      </c>
      <c r="P590">
        <v>0</v>
      </c>
      <c r="Q590" s="3">
        <v>0</v>
      </c>
      <c r="R590">
        <v>0</v>
      </c>
      <c r="S590" s="3">
        <v>0</v>
      </c>
    </row>
    <row r="591" spans="1:19" x14ac:dyDescent="0.3">
      <c r="A591" t="s">
        <v>515</v>
      </c>
      <c r="B591" t="s">
        <v>252</v>
      </c>
      <c r="C591" t="s">
        <v>140</v>
      </c>
      <c r="D591" s="1" t="s">
        <v>475</v>
      </c>
      <c r="F591" t="s">
        <v>412</v>
      </c>
      <c r="H591" t="s">
        <v>314</v>
      </c>
      <c r="I591">
        <v>59401600</v>
      </c>
      <c r="J591">
        <v>56057994</v>
      </c>
      <c r="K591" s="3">
        <v>0.943712</v>
      </c>
      <c r="L591">
        <v>31334375</v>
      </c>
      <c r="M591" s="3">
        <v>0.52749999999999997</v>
      </c>
      <c r="N591">
        <v>28067225</v>
      </c>
      <c r="O591" s="3">
        <v>0.472499</v>
      </c>
      <c r="P591">
        <v>0</v>
      </c>
      <c r="Q591" s="3">
        <v>0</v>
      </c>
      <c r="R591">
        <v>0</v>
      </c>
      <c r="S591" s="3">
        <v>0</v>
      </c>
    </row>
    <row r="592" spans="1:19" x14ac:dyDescent="0.3">
      <c r="A592" t="s">
        <v>515</v>
      </c>
      <c r="B592" t="s">
        <v>252</v>
      </c>
      <c r="C592" t="s">
        <v>140</v>
      </c>
      <c r="D592" s="1" t="s">
        <v>475</v>
      </c>
      <c r="F592" t="s">
        <v>440</v>
      </c>
      <c r="H592" t="s">
        <v>314</v>
      </c>
      <c r="I592">
        <v>41278369</v>
      </c>
      <c r="J592">
        <v>38963655</v>
      </c>
      <c r="K592" s="3">
        <v>0.94392399999999999</v>
      </c>
      <c r="L592">
        <v>21818817</v>
      </c>
      <c r="M592" s="3">
        <v>0.52857699999999996</v>
      </c>
      <c r="N592">
        <v>19459552</v>
      </c>
      <c r="O592" s="3">
        <v>0.47142299999999998</v>
      </c>
      <c r="P592">
        <v>0</v>
      </c>
      <c r="Q592" s="3">
        <v>0</v>
      </c>
      <c r="R592">
        <v>0</v>
      </c>
      <c r="S592" s="3">
        <v>0</v>
      </c>
    </row>
    <row r="593" spans="1:19" x14ac:dyDescent="0.3">
      <c r="A593" t="s">
        <v>515</v>
      </c>
      <c r="B593" t="s">
        <v>252</v>
      </c>
      <c r="C593" t="s">
        <v>140</v>
      </c>
      <c r="D593" s="1" t="s">
        <v>475</v>
      </c>
      <c r="F593" t="s">
        <v>414</v>
      </c>
      <c r="H593" t="s">
        <v>314</v>
      </c>
      <c r="I593">
        <v>58950296</v>
      </c>
      <c r="J593">
        <v>55674603</v>
      </c>
      <c r="K593" s="3">
        <v>0.94443299999999997</v>
      </c>
      <c r="L593">
        <v>31022160</v>
      </c>
      <c r="M593" s="3">
        <v>0.52624300000000002</v>
      </c>
      <c r="N593">
        <v>27928136</v>
      </c>
      <c r="O593" s="3">
        <v>0.47375699999999998</v>
      </c>
      <c r="P593">
        <v>0</v>
      </c>
      <c r="Q593" s="3">
        <v>0</v>
      </c>
      <c r="R593">
        <v>0</v>
      </c>
      <c r="S593" s="3">
        <v>0</v>
      </c>
    </row>
    <row r="594" spans="1:19" x14ac:dyDescent="0.3">
      <c r="A594" t="s">
        <v>515</v>
      </c>
      <c r="B594" t="s">
        <v>252</v>
      </c>
      <c r="C594" t="s">
        <v>140</v>
      </c>
      <c r="D594" s="1" t="s">
        <v>475</v>
      </c>
      <c r="F594" t="s">
        <v>382</v>
      </c>
      <c r="H594" t="s">
        <v>314</v>
      </c>
      <c r="I594">
        <v>50099683</v>
      </c>
      <c r="J594">
        <v>47319569</v>
      </c>
      <c r="K594" s="3">
        <v>0.94450800000000001</v>
      </c>
      <c r="L594">
        <v>27423078</v>
      </c>
      <c r="M594" s="3">
        <v>0.54737000000000002</v>
      </c>
      <c r="N594">
        <v>22676605</v>
      </c>
      <c r="O594" s="3">
        <v>0.45262999999999998</v>
      </c>
      <c r="P594">
        <v>0</v>
      </c>
      <c r="Q594" s="3">
        <v>0</v>
      </c>
      <c r="R594">
        <v>0</v>
      </c>
      <c r="S594" s="3">
        <v>0</v>
      </c>
    </row>
    <row r="595" spans="1:19" x14ac:dyDescent="0.3">
      <c r="A595" t="s">
        <v>515</v>
      </c>
      <c r="B595" t="s">
        <v>252</v>
      </c>
      <c r="C595" t="s">
        <v>140</v>
      </c>
      <c r="D595" s="1" t="s">
        <v>475</v>
      </c>
      <c r="F595" t="s">
        <v>387</v>
      </c>
      <c r="H595" t="s">
        <v>314</v>
      </c>
      <c r="I595">
        <v>55374573</v>
      </c>
      <c r="J595">
        <v>52313856</v>
      </c>
      <c r="K595" s="3">
        <v>0.94472699999999998</v>
      </c>
      <c r="L595">
        <v>29243211</v>
      </c>
      <c r="M595" s="3">
        <v>0.52809799999999996</v>
      </c>
      <c r="N595">
        <v>26131362</v>
      </c>
      <c r="O595" s="3">
        <v>0.47190199999999999</v>
      </c>
      <c r="P595">
        <v>0</v>
      </c>
      <c r="Q595" s="3">
        <v>0</v>
      </c>
      <c r="R595">
        <v>0</v>
      </c>
      <c r="S595" s="3">
        <v>0</v>
      </c>
    </row>
    <row r="596" spans="1:19" x14ac:dyDescent="0.3">
      <c r="A596" t="s">
        <v>515</v>
      </c>
      <c r="B596" t="s">
        <v>252</v>
      </c>
      <c r="C596" t="s">
        <v>140</v>
      </c>
      <c r="D596" s="1" t="s">
        <v>475</v>
      </c>
      <c r="F596" t="s">
        <v>402</v>
      </c>
      <c r="H596" t="s">
        <v>314</v>
      </c>
      <c r="I596">
        <v>59681834</v>
      </c>
      <c r="J596">
        <v>56389756</v>
      </c>
      <c r="K596" s="3">
        <v>0.94484000000000001</v>
      </c>
      <c r="L596">
        <v>31301516</v>
      </c>
      <c r="M596" s="3">
        <v>0.52447299999999997</v>
      </c>
      <c r="N596">
        <v>28380318</v>
      </c>
      <c r="O596" s="3">
        <v>0.47552699999999998</v>
      </c>
      <c r="P596">
        <v>0</v>
      </c>
      <c r="Q596" s="3">
        <v>0</v>
      </c>
      <c r="R596">
        <v>0</v>
      </c>
      <c r="S596" s="3">
        <v>0</v>
      </c>
    </row>
    <row r="597" spans="1:19" x14ac:dyDescent="0.3">
      <c r="A597" t="s">
        <v>515</v>
      </c>
      <c r="B597" t="s">
        <v>252</v>
      </c>
      <c r="C597" t="s">
        <v>140</v>
      </c>
      <c r="D597" s="1" t="s">
        <v>475</v>
      </c>
      <c r="F597" t="s">
        <v>441</v>
      </c>
      <c r="H597" t="s">
        <v>314</v>
      </c>
      <c r="I597">
        <v>45884682</v>
      </c>
      <c r="J597">
        <v>43354233</v>
      </c>
      <c r="K597" s="3">
        <v>0.94485200000000003</v>
      </c>
      <c r="L597">
        <v>24210750</v>
      </c>
      <c r="M597" s="3">
        <v>0.52764299999999997</v>
      </c>
      <c r="N597">
        <v>21673932</v>
      </c>
      <c r="O597" s="3">
        <v>0.47235700000000003</v>
      </c>
      <c r="P597">
        <v>0</v>
      </c>
      <c r="Q597" s="3">
        <v>0</v>
      </c>
      <c r="R597">
        <v>0</v>
      </c>
      <c r="S597" s="3">
        <v>0</v>
      </c>
    </row>
    <row r="598" spans="1:19" x14ac:dyDescent="0.3">
      <c r="A598" t="s">
        <v>515</v>
      </c>
      <c r="B598" t="s">
        <v>252</v>
      </c>
      <c r="C598" t="s">
        <v>140</v>
      </c>
      <c r="D598" s="1" t="s">
        <v>475</v>
      </c>
      <c r="F598" t="s">
        <v>439</v>
      </c>
      <c r="H598" t="s">
        <v>314</v>
      </c>
      <c r="I598">
        <v>42535947</v>
      </c>
      <c r="J598">
        <v>40194334</v>
      </c>
      <c r="K598" s="3">
        <v>0.94494999999999996</v>
      </c>
      <c r="L598">
        <v>22431859</v>
      </c>
      <c r="M598" s="3">
        <v>0.527362</v>
      </c>
      <c r="N598">
        <v>20104088</v>
      </c>
      <c r="O598" s="3">
        <v>0.472638</v>
      </c>
      <c r="P598">
        <v>0</v>
      </c>
      <c r="Q598" s="3">
        <v>0</v>
      </c>
      <c r="R598">
        <v>0</v>
      </c>
      <c r="S598" s="3">
        <v>0</v>
      </c>
    </row>
    <row r="599" spans="1:19" x14ac:dyDescent="0.3">
      <c r="A599" t="s">
        <v>515</v>
      </c>
      <c r="B599" t="s">
        <v>252</v>
      </c>
      <c r="C599" t="s">
        <v>140</v>
      </c>
      <c r="D599" s="1" t="s">
        <v>475</v>
      </c>
      <c r="F599" t="s">
        <v>456</v>
      </c>
      <c r="H599" t="s">
        <v>314</v>
      </c>
      <c r="I599">
        <v>37471710</v>
      </c>
      <c r="J599">
        <v>35422229</v>
      </c>
      <c r="K599" s="3">
        <v>0.94530599999999998</v>
      </c>
      <c r="L599">
        <v>19642049</v>
      </c>
      <c r="M599" s="3">
        <v>0.52418299999999995</v>
      </c>
      <c r="N599">
        <v>17829661</v>
      </c>
      <c r="O599" s="3">
        <v>0.47581699999999999</v>
      </c>
      <c r="P599">
        <v>0</v>
      </c>
      <c r="Q599" s="3">
        <v>0</v>
      </c>
      <c r="R599">
        <v>0</v>
      </c>
      <c r="S599" s="3">
        <v>0</v>
      </c>
    </row>
    <row r="600" spans="1:19" x14ac:dyDescent="0.3">
      <c r="A600" t="s">
        <v>515</v>
      </c>
      <c r="B600" t="s">
        <v>252</v>
      </c>
      <c r="C600" t="s">
        <v>140</v>
      </c>
      <c r="D600" s="1" t="s">
        <v>475</v>
      </c>
      <c r="F600" t="s">
        <v>453</v>
      </c>
      <c r="H600" t="s">
        <v>314</v>
      </c>
      <c r="I600">
        <v>45784310</v>
      </c>
      <c r="J600">
        <v>43286599</v>
      </c>
      <c r="K600" s="3">
        <v>0.94544600000000001</v>
      </c>
      <c r="L600">
        <v>24069094</v>
      </c>
      <c r="M600" s="3">
        <v>0.52570600000000001</v>
      </c>
      <c r="N600">
        <v>21715216</v>
      </c>
      <c r="O600" s="3">
        <v>0.47429399999999999</v>
      </c>
      <c r="P600">
        <v>0</v>
      </c>
      <c r="Q600" s="3">
        <v>0</v>
      </c>
      <c r="R600">
        <v>0</v>
      </c>
      <c r="S600" s="3">
        <v>0</v>
      </c>
    </row>
    <row r="601" spans="1:19" x14ac:dyDescent="0.3">
      <c r="A601" t="s">
        <v>515</v>
      </c>
      <c r="B601" t="s">
        <v>252</v>
      </c>
      <c r="C601" t="s">
        <v>140</v>
      </c>
      <c r="D601" s="1" t="s">
        <v>475</v>
      </c>
      <c r="F601" t="s">
        <v>474</v>
      </c>
      <c r="H601" t="s">
        <v>314</v>
      </c>
      <c r="I601">
        <v>42492856</v>
      </c>
      <c r="J601">
        <v>40175580</v>
      </c>
      <c r="K601" s="3">
        <v>0.94546699999999995</v>
      </c>
      <c r="L601">
        <v>22704936</v>
      </c>
      <c r="M601" s="3">
        <v>0.53432400000000002</v>
      </c>
      <c r="N601">
        <v>19787920</v>
      </c>
      <c r="O601" s="3">
        <v>0.46567599999999998</v>
      </c>
      <c r="P601">
        <v>0</v>
      </c>
      <c r="Q601" s="3">
        <v>0</v>
      </c>
      <c r="R601">
        <v>0</v>
      </c>
      <c r="S601" s="3">
        <v>0</v>
      </c>
    </row>
    <row r="602" spans="1:19" x14ac:dyDescent="0.3">
      <c r="A602" t="s">
        <v>515</v>
      </c>
      <c r="B602" t="s">
        <v>252</v>
      </c>
      <c r="C602" t="s">
        <v>140</v>
      </c>
      <c r="D602" s="1" t="s">
        <v>475</v>
      </c>
      <c r="F602" t="s">
        <v>443</v>
      </c>
      <c r="H602" t="s">
        <v>314</v>
      </c>
      <c r="I602">
        <v>29319050</v>
      </c>
      <c r="J602">
        <v>27721318</v>
      </c>
      <c r="K602" s="3">
        <v>0.94550500000000004</v>
      </c>
      <c r="L602">
        <v>15598879</v>
      </c>
      <c r="M602" s="3">
        <v>0.53203900000000004</v>
      </c>
      <c r="N602">
        <v>13720171</v>
      </c>
      <c r="O602" s="3">
        <v>0.46796100000000002</v>
      </c>
      <c r="P602">
        <v>0</v>
      </c>
      <c r="Q602" s="3">
        <v>0</v>
      </c>
      <c r="R602">
        <v>0</v>
      </c>
      <c r="S602" s="3">
        <v>0</v>
      </c>
    </row>
    <row r="603" spans="1:19" x14ac:dyDescent="0.3">
      <c r="A603" t="s">
        <v>515</v>
      </c>
      <c r="B603" t="s">
        <v>252</v>
      </c>
      <c r="C603" t="s">
        <v>140</v>
      </c>
      <c r="D603" s="1" t="s">
        <v>475</v>
      </c>
      <c r="F603" t="s">
        <v>410</v>
      </c>
      <c r="H603" t="s">
        <v>314</v>
      </c>
      <c r="I603">
        <v>56570569</v>
      </c>
      <c r="J603">
        <v>53491046</v>
      </c>
      <c r="K603" s="3">
        <v>0.94556300000000004</v>
      </c>
      <c r="L603">
        <v>29743833</v>
      </c>
      <c r="M603" s="3">
        <v>0.525783</v>
      </c>
      <c r="N603">
        <v>26826736</v>
      </c>
      <c r="O603" s="3">
        <v>0.474217</v>
      </c>
      <c r="P603">
        <v>0</v>
      </c>
      <c r="Q603" s="3">
        <v>0</v>
      </c>
      <c r="R603">
        <v>0</v>
      </c>
      <c r="S603" s="3">
        <v>0</v>
      </c>
    </row>
    <row r="604" spans="1:19" x14ac:dyDescent="0.3">
      <c r="A604" t="s">
        <v>515</v>
      </c>
      <c r="B604" t="s">
        <v>252</v>
      </c>
      <c r="C604" t="s">
        <v>140</v>
      </c>
      <c r="D604" s="1" t="s">
        <v>475</v>
      </c>
      <c r="F604" t="s">
        <v>449</v>
      </c>
      <c r="H604" t="s">
        <v>314</v>
      </c>
      <c r="I604">
        <v>28748775</v>
      </c>
      <c r="J604">
        <v>27191209</v>
      </c>
      <c r="K604" s="3">
        <v>0.94582100000000002</v>
      </c>
      <c r="L604">
        <v>15073478</v>
      </c>
      <c r="M604" s="3">
        <v>0.52431700000000003</v>
      </c>
      <c r="N604">
        <v>13675297</v>
      </c>
      <c r="O604" s="3">
        <v>0.47568300000000002</v>
      </c>
      <c r="P604">
        <v>0</v>
      </c>
      <c r="Q604" s="3">
        <v>0</v>
      </c>
      <c r="R604">
        <v>0</v>
      </c>
      <c r="S604" s="3">
        <v>0</v>
      </c>
    </row>
    <row r="605" spans="1:19" x14ac:dyDescent="0.3">
      <c r="A605" t="s">
        <v>515</v>
      </c>
      <c r="B605" t="s">
        <v>252</v>
      </c>
      <c r="C605" t="s">
        <v>140</v>
      </c>
      <c r="D605" s="1" t="s">
        <v>475</v>
      </c>
      <c r="F605" t="s">
        <v>426</v>
      </c>
      <c r="H605" t="s">
        <v>314</v>
      </c>
      <c r="I605">
        <v>62969165</v>
      </c>
      <c r="J605">
        <v>59574678</v>
      </c>
      <c r="K605" s="3">
        <v>0.94609299999999996</v>
      </c>
      <c r="L605">
        <v>33126778</v>
      </c>
      <c r="M605" s="3">
        <v>0.52607899999999996</v>
      </c>
      <c r="N605">
        <v>29842387</v>
      </c>
      <c r="O605" s="3">
        <v>0.47392099999999998</v>
      </c>
      <c r="P605">
        <v>0</v>
      </c>
      <c r="Q605" s="3">
        <v>0</v>
      </c>
      <c r="R605">
        <v>0</v>
      </c>
      <c r="S605" s="3">
        <v>0</v>
      </c>
    </row>
    <row r="606" spans="1:19" x14ac:dyDescent="0.3">
      <c r="A606" t="s">
        <v>515</v>
      </c>
      <c r="B606" t="s">
        <v>252</v>
      </c>
      <c r="C606" t="s">
        <v>140</v>
      </c>
      <c r="D606" s="1" t="s">
        <v>475</v>
      </c>
      <c r="F606" t="s">
        <v>450</v>
      </c>
      <c r="H606" t="s">
        <v>314</v>
      </c>
      <c r="I606">
        <v>36374031</v>
      </c>
      <c r="J606">
        <v>34413556</v>
      </c>
      <c r="K606" s="3">
        <v>0.946102</v>
      </c>
      <c r="L606">
        <v>19097271</v>
      </c>
      <c r="M606" s="3">
        <v>0.52502499999999996</v>
      </c>
      <c r="N606">
        <v>17276760</v>
      </c>
      <c r="O606" s="3">
        <v>0.47497499999999998</v>
      </c>
      <c r="P606">
        <v>0</v>
      </c>
      <c r="Q606" s="3">
        <v>0</v>
      </c>
      <c r="R606">
        <v>0</v>
      </c>
      <c r="S606" s="3">
        <v>0</v>
      </c>
    </row>
    <row r="607" spans="1:19" x14ac:dyDescent="0.3">
      <c r="A607" t="s">
        <v>515</v>
      </c>
      <c r="B607" t="s">
        <v>252</v>
      </c>
      <c r="C607" t="s">
        <v>140</v>
      </c>
      <c r="D607" s="1" t="s">
        <v>475</v>
      </c>
      <c r="F607" t="s">
        <v>468</v>
      </c>
      <c r="H607" t="s">
        <v>314</v>
      </c>
      <c r="I607">
        <v>23282439</v>
      </c>
      <c r="J607">
        <v>22027600</v>
      </c>
      <c r="K607" s="3">
        <v>0.94610399999999995</v>
      </c>
      <c r="L607">
        <v>12304796</v>
      </c>
      <c r="M607" s="3">
        <v>0.528501</v>
      </c>
      <c r="N607">
        <v>10977643</v>
      </c>
      <c r="O607" s="3">
        <v>0.471499</v>
      </c>
      <c r="P607">
        <v>0</v>
      </c>
      <c r="Q607" s="3">
        <v>0</v>
      </c>
      <c r="R607">
        <v>0</v>
      </c>
      <c r="S607" s="3">
        <v>0</v>
      </c>
    </row>
    <row r="608" spans="1:19" x14ac:dyDescent="0.3">
      <c r="A608" t="s">
        <v>515</v>
      </c>
      <c r="B608" t="s">
        <v>252</v>
      </c>
      <c r="C608" t="s">
        <v>140</v>
      </c>
      <c r="D608" s="1" t="s">
        <v>475</v>
      </c>
      <c r="F608" t="s">
        <v>452</v>
      </c>
      <c r="H608" t="s">
        <v>314</v>
      </c>
      <c r="I608">
        <v>37986762</v>
      </c>
      <c r="J608">
        <v>35956469</v>
      </c>
      <c r="K608" s="3">
        <v>0.94655299999999998</v>
      </c>
      <c r="L608">
        <v>20047412</v>
      </c>
      <c r="M608" s="3">
        <v>0.52774699999999997</v>
      </c>
      <c r="N608">
        <v>17939350</v>
      </c>
      <c r="O608" s="3">
        <v>0.47225299999999998</v>
      </c>
      <c r="P608">
        <v>0</v>
      </c>
      <c r="Q608" s="3">
        <v>0</v>
      </c>
      <c r="R608">
        <v>0</v>
      </c>
      <c r="S608" s="3">
        <v>0</v>
      </c>
    </row>
    <row r="609" spans="1:19" x14ac:dyDescent="0.3">
      <c r="A609" t="s">
        <v>515</v>
      </c>
      <c r="B609" t="s">
        <v>252</v>
      </c>
      <c r="C609" t="s">
        <v>140</v>
      </c>
      <c r="D609" s="1" t="s">
        <v>475</v>
      </c>
      <c r="F609" t="s">
        <v>455</v>
      </c>
      <c r="H609" t="s">
        <v>314</v>
      </c>
      <c r="I609">
        <v>36771409</v>
      </c>
      <c r="J609">
        <v>34807768</v>
      </c>
      <c r="K609" s="3">
        <v>0.94659899999999997</v>
      </c>
      <c r="L609">
        <v>19310890</v>
      </c>
      <c r="M609" s="3">
        <v>0.52515999999999996</v>
      </c>
      <c r="N609">
        <v>17460519</v>
      </c>
      <c r="O609" s="3">
        <v>0.47483999999999998</v>
      </c>
      <c r="P609">
        <v>0</v>
      </c>
      <c r="Q609" s="3">
        <v>0</v>
      </c>
      <c r="R609">
        <v>0</v>
      </c>
      <c r="S609" s="3">
        <v>0</v>
      </c>
    </row>
    <row r="610" spans="1:19" x14ac:dyDescent="0.3">
      <c r="A610" t="s">
        <v>515</v>
      </c>
      <c r="B610" t="s">
        <v>252</v>
      </c>
      <c r="C610" t="s">
        <v>140</v>
      </c>
      <c r="D610" s="1" t="s">
        <v>475</v>
      </c>
      <c r="F610" t="s">
        <v>459</v>
      </c>
      <c r="H610" t="s">
        <v>314</v>
      </c>
      <c r="I610">
        <v>42316175</v>
      </c>
      <c r="J610">
        <v>40060182</v>
      </c>
      <c r="K610" s="3">
        <v>0.94668699999999995</v>
      </c>
      <c r="L610">
        <v>22200353</v>
      </c>
      <c r="M610" s="3">
        <v>0.52463000000000004</v>
      </c>
      <c r="N610">
        <v>20115822</v>
      </c>
      <c r="O610" s="3">
        <v>0.47537000000000001</v>
      </c>
      <c r="P610">
        <v>0</v>
      </c>
      <c r="Q610" s="3">
        <v>0</v>
      </c>
      <c r="R610">
        <v>0</v>
      </c>
      <c r="S610" s="3">
        <v>0</v>
      </c>
    </row>
    <row r="611" spans="1:19" x14ac:dyDescent="0.3">
      <c r="A611" t="s">
        <v>515</v>
      </c>
      <c r="B611" t="s">
        <v>252</v>
      </c>
      <c r="C611" t="s">
        <v>140</v>
      </c>
      <c r="D611" s="1" t="s">
        <v>475</v>
      </c>
      <c r="F611" t="s">
        <v>457</v>
      </c>
      <c r="H611" t="s">
        <v>314</v>
      </c>
      <c r="I611">
        <v>41473419</v>
      </c>
      <c r="J611">
        <v>39266974</v>
      </c>
      <c r="K611" s="3">
        <v>0.94679899999999995</v>
      </c>
      <c r="L611">
        <v>21674227</v>
      </c>
      <c r="M611" s="3">
        <v>0.52260499999999999</v>
      </c>
      <c r="N611">
        <v>19799192</v>
      </c>
      <c r="O611" s="3">
        <v>0.47739500000000001</v>
      </c>
      <c r="P611">
        <v>0</v>
      </c>
      <c r="Q611" s="3">
        <v>0</v>
      </c>
      <c r="R611">
        <v>0</v>
      </c>
      <c r="S611" s="3">
        <v>0</v>
      </c>
    </row>
    <row r="612" spans="1:19" x14ac:dyDescent="0.3">
      <c r="A612" t="s">
        <v>515</v>
      </c>
      <c r="B612" t="s">
        <v>252</v>
      </c>
      <c r="C612" t="s">
        <v>140</v>
      </c>
      <c r="D612" s="1" t="s">
        <v>475</v>
      </c>
      <c r="F612" t="s">
        <v>472</v>
      </c>
      <c r="H612" t="s">
        <v>314</v>
      </c>
      <c r="I612">
        <v>30911217</v>
      </c>
      <c r="J612">
        <v>29288888</v>
      </c>
      <c r="K612" s="3">
        <v>0.94751600000000002</v>
      </c>
      <c r="L612">
        <v>16317373</v>
      </c>
      <c r="M612" s="3">
        <v>0.52787899999999999</v>
      </c>
      <c r="N612">
        <v>14593844</v>
      </c>
      <c r="O612" s="3">
        <v>0.47212100000000001</v>
      </c>
      <c r="P612">
        <v>0</v>
      </c>
      <c r="Q612" s="3">
        <v>0</v>
      </c>
      <c r="R612">
        <v>0</v>
      </c>
      <c r="S612" s="3">
        <v>0</v>
      </c>
    </row>
    <row r="613" spans="1:19" x14ac:dyDescent="0.3">
      <c r="A613" t="s">
        <v>515</v>
      </c>
      <c r="B613" t="s">
        <v>252</v>
      </c>
      <c r="C613" t="s">
        <v>140</v>
      </c>
      <c r="D613" s="1" t="s">
        <v>475</v>
      </c>
      <c r="F613" t="s">
        <v>463</v>
      </c>
      <c r="H613" t="s">
        <v>314</v>
      </c>
      <c r="I613">
        <v>43510882</v>
      </c>
      <c r="J613">
        <v>41229079</v>
      </c>
      <c r="K613" s="3">
        <v>0.94755800000000001</v>
      </c>
      <c r="L613">
        <v>22776812</v>
      </c>
      <c r="M613" s="3">
        <v>0.52347399999999999</v>
      </c>
      <c r="N613">
        <v>20734070</v>
      </c>
      <c r="O613" s="3">
        <v>0.47652600000000001</v>
      </c>
      <c r="P613">
        <v>0</v>
      </c>
      <c r="Q613" s="3">
        <v>0</v>
      </c>
      <c r="R613">
        <v>0</v>
      </c>
      <c r="S613" s="3">
        <v>0</v>
      </c>
    </row>
    <row r="614" spans="1:19" x14ac:dyDescent="0.3">
      <c r="A614" t="s">
        <v>515</v>
      </c>
      <c r="B614" t="s">
        <v>252</v>
      </c>
      <c r="C614" t="s">
        <v>140</v>
      </c>
      <c r="D614" s="1" t="s">
        <v>475</v>
      </c>
      <c r="F614" t="s">
        <v>446</v>
      </c>
      <c r="H614" t="s">
        <v>314</v>
      </c>
      <c r="I614">
        <v>30694423</v>
      </c>
      <c r="J614">
        <v>29100860</v>
      </c>
      <c r="K614" s="3">
        <v>0.94808300000000001</v>
      </c>
      <c r="L614">
        <v>16165018</v>
      </c>
      <c r="M614" s="3">
        <v>0.52664299999999997</v>
      </c>
      <c r="N614">
        <v>14529405</v>
      </c>
      <c r="O614" s="3">
        <v>0.473356</v>
      </c>
      <c r="P614">
        <v>0</v>
      </c>
      <c r="Q614" s="3">
        <v>0</v>
      </c>
      <c r="R614">
        <v>0</v>
      </c>
      <c r="S614" s="3">
        <v>0</v>
      </c>
    </row>
    <row r="615" spans="1:19" x14ac:dyDescent="0.3">
      <c r="A615" t="s">
        <v>515</v>
      </c>
      <c r="B615" t="s">
        <v>252</v>
      </c>
      <c r="C615" t="s">
        <v>140</v>
      </c>
      <c r="D615" s="1" t="s">
        <v>475</v>
      </c>
      <c r="F615" t="s">
        <v>458</v>
      </c>
      <c r="H615" t="s">
        <v>314</v>
      </c>
      <c r="I615">
        <v>40277618</v>
      </c>
      <c r="J615">
        <v>38197584</v>
      </c>
      <c r="K615" s="3">
        <v>0.94835800000000003</v>
      </c>
      <c r="L615">
        <v>21009094</v>
      </c>
      <c r="M615" s="3">
        <v>0.52160700000000004</v>
      </c>
      <c r="N615">
        <v>19268524</v>
      </c>
      <c r="O615" s="3">
        <v>0.47839300000000001</v>
      </c>
      <c r="P615">
        <v>0</v>
      </c>
      <c r="Q615" s="3">
        <v>0</v>
      </c>
      <c r="R615">
        <v>0</v>
      </c>
      <c r="S615" s="3">
        <v>0</v>
      </c>
    </row>
    <row r="616" spans="1:19" x14ac:dyDescent="0.3">
      <c r="A616" t="s">
        <v>515</v>
      </c>
      <c r="B616" t="s">
        <v>252</v>
      </c>
      <c r="C616" t="s">
        <v>140</v>
      </c>
      <c r="D616" s="1" t="s">
        <v>475</v>
      </c>
      <c r="F616" t="s">
        <v>447</v>
      </c>
      <c r="H616" t="s">
        <v>314</v>
      </c>
      <c r="I616">
        <v>27694763</v>
      </c>
      <c r="J616">
        <v>26266563</v>
      </c>
      <c r="K616" s="3">
        <v>0.94843100000000002</v>
      </c>
      <c r="L616">
        <v>14555859</v>
      </c>
      <c r="M616" s="3">
        <v>0.52558199999999999</v>
      </c>
      <c r="N616">
        <v>13138904</v>
      </c>
      <c r="O616" s="3">
        <v>0.47441800000000001</v>
      </c>
      <c r="P616">
        <v>0</v>
      </c>
      <c r="Q616" s="3">
        <v>0</v>
      </c>
      <c r="R616">
        <v>0</v>
      </c>
      <c r="S616" s="3">
        <v>0</v>
      </c>
    </row>
    <row r="617" spans="1:19" x14ac:dyDescent="0.3">
      <c r="A617" t="s">
        <v>515</v>
      </c>
      <c r="B617" t="s">
        <v>252</v>
      </c>
      <c r="C617" t="s">
        <v>140</v>
      </c>
      <c r="D617" s="1" t="s">
        <v>475</v>
      </c>
      <c r="F617" t="s">
        <v>465</v>
      </c>
      <c r="H617" t="s">
        <v>314</v>
      </c>
      <c r="I617">
        <v>27095595</v>
      </c>
      <c r="J617">
        <v>25716995</v>
      </c>
      <c r="K617" s="3">
        <v>0.94912099999999999</v>
      </c>
      <c r="L617">
        <v>14529215</v>
      </c>
      <c r="M617" s="3">
        <v>0.53622099999999995</v>
      </c>
      <c r="N617">
        <v>12566380</v>
      </c>
      <c r="O617" s="3">
        <v>0.463779</v>
      </c>
      <c r="P617">
        <v>0</v>
      </c>
      <c r="Q617" s="3">
        <v>0</v>
      </c>
      <c r="R617">
        <v>0</v>
      </c>
      <c r="S617" s="3">
        <v>0</v>
      </c>
    </row>
    <row r="618" spans="1:19" x14ac:dyDescent="0.3">
      <c r="A618" t="s">
        <v>515</v>
      </c>
      <c r="B618" t="s">
        <v>252</v>
      </c>
      <c r="C618" t="s">
        <v>140</v>
      </c>
      <c r="D618" s="1" t="s">
        <v>475</v>
      </c>
      <c r="F618" t="s">
        <v>464</v>
      </c>
      <c r="H618" t="s">
        <v>314</v>
      </c>
      <c r="I618">
        <v>26371708</v>
      </c>
      <c r="J618">
        <v>25047682</v>
      </c>
      <c r="K618" s="3">
        <v>0.94979400000000003</v>
      </c>
      <c r="L618">
        <v>13784635</v>
      </c>
      <c r="M618" s="3">
        <v>0.52270499999999998</v>
      </c>
      <c r="N618">
        <v>12587073</v>
      </c>
      <c r="O618" s="3">
        <v>0.47729500000000002</v>
      </c>
      <c r="P618">
        <v>0</v>
      </c>
      <c r="Q618" s="3">
        <v>0</v>
      </c>
      <c r="R618">
        <v>0</v>
      </c>
      <c r="S618" s="3">
        <v>0</v>
      </c>
    </row>
    <row r="619" spans="1:19" x14ac:dyDescent="0.3">
      <c r="A619" t="s">
        <v>515</v>
      </c>
      <c r="B619" t="s">
        <v>252</v>
      </c>
      <c r="C619" t="s">
        <v>140</v>
      </c>
      <c r="D619" s="1" t="s">
        <v>475</v>
      </c>
      <c r="F619" t="s">
        <v>461</v>
      </c>
      <c r="H619" t="s">
        <v>314</v>
      </c>
      <c r="I619">
        <v>28434910</v>
      </c>
      <c r="J619">
        <v>27021818</v>
      </c>
      <c r="K619" s="3">
        <v>0.95030400000000004</v>
      </c>
      <c r="L619">
        <v>14893841</v>
      </c>
      <c r="M619" s="3">
        <v>0.523787</v>
      </c>
      <c r="N619">
        <v>13541069</v>
      </c>
      <c r="O619" s="3">
        <v>0.476213</v>
      </c>
      <c r="P619">
        <v>0</v>
      </c>
      <c r="Q619" s="3">
        <v>0</v>
      </c>
      <c r="R619">
        <v>0</v>
      </c>
      <c r="S619" s="3">
        <v>0</v>
      </c>
    </row>
    <row r="620" spans="1:19" x14ac:dyDescent="0.3">
      <c r="A620" t="s">
        <v>515</v>
      </c>
      <c r="B620" t="s">
        <v>252</v>
      </c>
      <c r="C620" t="s">
        <v>140</v>
      </c>
      <c r="D620" s="1" t="s">
        <v>475</v>
      </c>
      <c r="F620" t="s">
        <v>460</v>
      </c>
      <c r="H620" t="s">
        <v>314</v>
      </c>
      <c r="I620">
        <v>42129948</v>
      </c>
      <c r="J620">
        <v>40038965</v>
      </c>
      <c r="K620" s="3">
        <v>0.95036799999999999</v>
      </c>
      <c r="L620">
        <v>22124464</v>
      </c>
      <c r="M620" s="3">
        <v>0.52514799999999995</v>
      </c>
      <c r="N620">
        <v>20005484</v>
      </c>
      <c r="O620" s="3">
        <v>0.474852</v>
      </c>
      <c r="P620">
        <v>0</v>
      </c>
      <c r="Q620" s="3">
        <v>0</v>
      </c>
      <c r="R620">
        <v>0</v>
      </c>
      <c r="S620" s="3">
        <v>0</v>
      </c>
    </row>
    <row r="621" spans="1:19" x14ac:dyDescent="0.3">
      <c r="A621" t="s">
        <v>515</v>
      </c>
      <c r="B621" t="s">
        <v>252</v>
      </c>
      <c r="C621" t="s">
        <v>140</v>
      </c>
      <c r="D621" s="1" t="s">
        <v>475</v>
      </c>
      <c r="F621" t="s">
        <v>445</v>
      </c>
      <c r="H621" t="s">
        <v>314</v>
      </c>
      <c r="I621">
        <v>25565169</v>
      </c>
      <c r="J621">
        <v>24337496</v>
      </c>
      <c r="K621" s="3">
        <v>0.95197900000000002</v>
      </c>
      <c r="L621">
        <v>13405353</v>
      </c>
      <c r="M621" s="3">
        <v>0.52436000000000005</v>
      </c>
      <c r="N621">
        <v>12159816</v>
      </c>
      <c r="O621" s="3">
        <v>0.47564000000000001</v>
      </c>
      <c r="P621">
        <v>0</v>
      </c>
      <c r="Q621" s="3">
        <v>0</v>
      </c>
      <c r="R621">
        <v>0</v>
      </c>
      <c r="S621" s="3">
        <v>0</v>
      </c>
    </row>
    <row r="622" spans="1:19" x14ac:dyDescent="0.3">
      <c r="A622" t="s">
        <v>515</v>
      </c>
      <c r="B622" t="s">
        <v>252</v>
      </c>
      <c r="C622" t="s">
        <v>140</v>
      </c>
      <c r="D622" s="1" t="s">
        <v>475</v>
      </c>
      <c r="F622" t="s">
        <v>466</v>
      </c>
      <c r="H622" t="s">
        <v>314</v>
      </c>
      <c r="I622">
        <v>30832310</v>
      </c>
      <c r="J622">
        <v>29365638</v>
      </c>
      <c r="K622" s="3">
        <v>0.95243100000000003</v>
      </c>
      <c r="L622">
        <v>16355220</v>
      </c>
      <c r="M622" s="3">
        <v>0.53045699999999996</v>
      </c>
      <c r="N622">
        <v>14477090</v>
      </c>
      <c r="O622" s="3">
        <v>0.46954299999999999</v>
      </c>
      <c r="P622">
        <v>0</v>
      </c>
      <c r="Q622" s="3">
        <v>0</v>
      </c>
      <c r="R622">
        <v>0</v>
      </c>
      <c r="S622" s="3">
        <v>0</v>
      </c>
    </row>
    <row r="623" spans="1:19" x14ac:dyDescent="0.3">
      <c r="A623" t="s">
        <v>515</v>
      </c>
      <c r="B623" t="s">
        <v>252</v>
      </c>
      <c r="C623" t="s">
        <v>140</v>
      </c>
      <c r="D623" s="1" t="s">
        <v>475</v>
      </c>
      <c r="F623" t="s">
        <v>392</v>
      </c>
      <c r="H623" t="s">
        <v>314</v>
      </c>
      <c r="I623">
        <v>51040475</v>
      </c>
      <c r="J623">
        <v>48695570</v>
      </c>
      <c r="K623" s="3">
        <v>0.95405799999999996</v>
      </c>
      <c r="L623">
        <v>26588355</v>
      </c>
      <c r="M623" s="3">
        <v>0.52092700000000003</v>
      </c>
      <c r="N623">
        <v>24452120</v>
      </c>
      <c r="O623" s="3">
        <v>0.47907300000000003</v>
      </c>
      <c r="P623">
        <v>0</v>
      </c>
      <c r="Q623" s="3">
        <v>0</v>
      </c>
      <c r="R623">
        <v>0</v>
      </c>
      <c r="S623" s="3">
        <v>0</v>
      </c>
    </row>
    <row r="624" spans="1:19" x14ac:dyDescent="0.3">
      <c r="A624" t="s">
        <v>515</v>
      </c>
      <c r="B624" t="s">
        <v>252</v>
      </c>
      <c r="C624" t="s">
        <v>140</v>
      </c>
      <c r="D624" s="1" t="s">
        <v>475</v>
      </c>
      <c r="F624" t="s">
        <v>403</v>
      </c>
      <c r="H624" t="s">
        <v>314</v>
      </c>
      <c r="I624">
        <v>51869034</v>
      </c>
      <c r="J624">
        <v>49795582</v>
      </c>
      <c r="K624" s="3">
        <v>0.96002500000000002</v>
      </c>
      <c r="L624">
        <v>26875588</v>
      </c>
      <c r="M624" s="3">
        <v>0.51814300000000002</v>
      </c>
      <c r="N624">
        <v>24993446</v>
      </c>
      <c r="O624" s="3">
        <v>0.48185699999999998</v>
      </c>
      <c r="P624">
        <v>0</v>
      </c>
      <c r="Q624" s="3">
        <v>0</v>
      </c>
      <c r="R624">
        <v>0</v>
      </c>
      <c r="S624" s="3">
        <v>0</v>
      </c>
    </row>
    <row r="625" spans="1:19" x14ac:dyDescent="0.3">
      <c r="A625" t="s">
        <v>515</v>
      </c>
      <c r="B625" t="s">
        <v>236</v>
      </c>
      <c r="C625" t="s">
        <v>140</v>
      </c>
      <c r="D625" s="1" t="s">
        <v>475</v>
      </c>
      <c r="F625" t="s">
        <v>372</v>
      </c>
      <c r="H625" t="s">
        <v>314</v>
      </c>
      <c r="I625">
        <v>16528382</v>
      </c>
      <c r="J625">
        <v>7536126</v>
      </c>
      <c r="K625" s="3">
        <v>0.455951</v>
      </c>
      <c r="L625">
        <v>12724433</v>
      </c>
      <c r="M625" s="3">
        <v>0.76985400000000004</v>
      </c>
      <c r="N625">
        <v>3803949</v>
      </c>
      <c r="O625" s="3">
        <v>0.23014599999999999</v>
      </c>
      <c r="P625">
        <v>28429</v>
      </c>
      <c r="Q625" s="3">
        <v>1.7200099999999999E-3</v>
      </c>
      <c r="R625">
        <v>0</v>
      </c>
      <c r="S625" s="3">
        <v>0</v>
      </c>
    </row>
    <row r="626" spans="1:19" x14ac:dyDescent="0.3">
      <c r="A626" t="s">
        <v>515</v>
      </c>
      <c r="B626" t="s">
        <v>236</v>
      </c>
      <c r="C626" t="s">
        <v>140</v>
      </c>
      <c r="D626" s="1" t="s">
        <v>475</v>
      </c>
      <c r="F626" t="s">
        <v>370</v>
      </c>
      <c r="H626" t="s">
        <v>314</v>
      </c>
      <c r="I626">
        <v>19443747</v>
      </c>
      <c r="J626">
        <v>8941349</v>
      </c>
      <c r="K626" s="3">
        <v>0.45985700000000002</v>
      </c>
      <c r="L626">
        <v>14947705</v>
      </c>
      <c r="M626" s="3">
        <v>0.76876699999999998</v>
      </c>
      <c r="N626">
        <v>4496042</v>
      </c>
      <c r="O626" s="3">
        <v>0.23123299999999999</v>
      </c>
      <c r="P626">
        <v>33402</v>
      </c>
      <c r="Q626" s="3">
        <v>1.71788E-3</v>
      </c>
      <c r="R626">
        <v>0</v>
      </c>
      <c r="S626" s="3">
        <v>0</v>
      </c>
    </row>
    <row r="627" spans="1:19" x14ac:dyDescent="0.3">
      <c r="A627" t="s">
        <v>515</v>
      </c>
      <c r="B627" t="s">
        <v>236</v>
      </c>
      <c r="C627" t="s">
        <v>140</v>
      </c>
      <c r="D627" s="1" t="s">
        <v>475</v>
      </c>
      <c r="F627" t="s">
        <v>369</v>
      </c>
      <c r="H627" t="s">
        <v>314</v>
      </c>
      <c r="I627">
        <v>18383856</v>
      </c>
      <c r="J627">
        <v>8721643</v>
      </c>
      <c r="K627" s="3">
        <v>0.47441899999999998</v>
      </c>
      <c r="L627">
        <v>13993824</v>
      </c>
      <c r="M627" s="3">
        <v>0.76120200000000005</v>
      </c>
      <c r="N627">
        <v>4390032</v>
      </c>
      <c r="O627" s="3">
        <v>0.23879800000000001</v>
      </c>
      <c r="P627">
        <v>32937</v>
      </c>
      <c r="Q627" s="3">
        <v>1.79163E-3</v>
      </c>
      <c r="R627">
        <v>0</v>
      </c>
      <c r="S627" s="3">
        <v>0</v>
      </c>
    </row>
    <row r="628" spans="1:19" x14ac:dyDescent="0.3">
      <c r="A628" t="s">
        <v>515</v>
      </c>
      <c r="B628" t="s">
        <v>236</v>
      </c>
      <c r="C628" t="s">
        <v>140</v>
      </c>
      <c r="D628" s="1" t="s">
        <v>475</v>
      </c>
      <c r="F628" t="s">
        <v>374</v>
      </c>
      <c r="H628" t="s">
        <v>314</v>
      </c>
      <c r="I628">
        <v>17728379</v>
      </c>
      <c r="J628">
        <v>8644666</v>
      </c>
      <c r="K628" s="3">
        <v>0.48761700000000002</v>
      </c>
      <c r="L628">
        <v>13369795</v>
      </c>
      <c r="M628" s="3">
        <v>0.75414599999999998</v>
      </c>
      <c r="N628">
        <v>4358584</v>
      </c>
      <c r="O628" s="3">
        <v>0.24585299999999999</v>
      </c>
      <c r="P628">
        <v>35669</v>
      </c>
      <c r="Q628" s="3">
        <v>2.0119700000000001E-3</v>
      </c>
      <c r="R628">
        <v>0</v>
      </c>
      <c r="S628" s="3">
        <v>0</v>
      </c>
    </row>
    <row r="629" spans="1:19" x14ac:dyDescent="0.3">
      <c r="A629" t="s">
        <v>515</v>
      </c>
      <c r="B629" t="s">
        <v>236</v>
      </c>
      <c r="C629" t="s">
        <v>140</v>
      </c>
      <c r="D629" s="1" t="s">
        <v>475</v>
      </c>
      <c r="F629" t="s">
        <v>373</v>
      </c>
      <c r="H629" t="s">
        <v>314</v>
      </c>
      <c r="I629">
        <v>16926964</v>
      </c>
      <c r="J629">
        <v>8324116</v>
      </c>
      <c r="K629" s="3">
        <v>0.49176700000000001</v>
      </c>
      <c r="L629">
        <v>12742259</v>
      </c>
      <c r="M629" s="3">
        <v>0.75277899999999998</v>
      </c>
      <c r="N629">
        <v>4184705</v>
      </c>
      <c r="O629" s="3">
        <v>0.247221</v>
      </c>
      <c r="P629">
        <v>34335</v>
      </c>
      <c r="Q629" s="3">
        <v>2.02842E-3</v>
      </c>
      <c r="R629">
        <v>0</v>
      </c>
      <c r="S629" s="3">
        <v>0</v>
      </c>
    </row>
    <row r="630" spans="1:19" x14ac:dyDescent="0.3">
      <c r="A630" t="s">
        <v>515</v>
      </c>
      <c r="B630" t="s">
        <v>236</v>
      </c>
      <c r="C630" t="s">
        <v>140</v>
      </c>
      <c r="D630" s="1" t="s">
        <v>475</v>
      </c>
      <c r="F630" t="s">
        <v>436</v>
      </c>
      <c r="H630" t="s">
        <v>314</v>
      </c>
      <c r="I630">
        <v>327135399</v>
      </c>
      <c r="J630">
        <v>161950796</v>
      </c>
      <c r="K630" s="3">
        <v>0.49505700000000002</v>
      </c>
      <c r="L630">
        <v>245470180</v>
      </c>
      <c r="M630" s="3">
        <v>0.750363</v>
      </c>
      <c r="N630">
        <v>81665219</v>
      </c>
      <c r="O630" s="3">
        <v>0.249637</v>
      </c>
      <c r="P630">
        <v>668113</v>
      </c>
      <c r="Q630" s="3">
        <v>2.0423099999999999E-3</v>
      </c>
      <c r="R630">
        <v>0</v>
      </c>
      <c r="S630" s="3">
        <v>0</v>
      </c>
    </row>
    <row r="631" spans="1:19" x14ac:dyDescent="0.3">
      <c r="A631" t="s">
        <v>515</v>
      </c>
      <c r="B631" t="s">
        <v>236</v>
      </c>
      <c r="C631" t="s">
        <v>140</v>
      </c>
      <c r="D631" s="1" t="s">
        <v>475</v>
      </c>
      <c r="F631" t="s">
        <v>438</v>
      </c>
      <c r="H631" t="s">
        <v>314</v>
      </c>
      <c r="I631">
        <v>315333521</v>
      </c>
      <c r="J631">
        <v>156372573</v>
      </c>
      <c r="K631" s="3">
        <v>0.495896</v>
      </c>
      <c r="L631">
        <v>236485592</v>
      </c>
      <c r="M631" s="3">
        <v>0.74995400000000001</v>
      </c>
      <c r="N631">
        <v>78847929</v>
      </c>
      <c r="O631" s="3">
        <v>0.25004599999999999</v>
      </c>
      <c r="P631">
        <v>640232</v>
      </c>
      <c r="Q631" s="3">
        <v>2.0303299999999999E-3</v>
      </c>
      <c r="R631">
        <v>0</v>
      </c>
      <c r="S631" s="3">
        <v>0</v>
      </c>
    </row>
    <row r="632" spans="1:19" x14ac:dyDescent="0.3">
      <c r="A632" t="s">
        <v>515</v>
      </c>
      <c r="B632" t="s">
        <v>236</v>
      </c>
      <c r="C632" t="s">
        <v>140</v>
      </c>
      <c r="D632" s="1" t="s">
        <v>475</v>
      </c>
      <c r="F632" t="s">
        <v>375</v>
      </c>
      <c r="H632" t="s">
        <v>314</v>
      </c>
      <c r="I632">
        <v>18650609</v>
      </c>
      <c r="J632">
        <v>9473723</v>
      </c>
      <c r="K632" s="3">
        <v>0.50795800000000002</v>
      </c>
      <c r="L632">
        <v>13895902</v>
      </c>
      <c r="M632" s="3">
        <v>0.74506399999999995</v>
      </c>
      <c r="N632">
        <v>4754707</v>
      </c>
      <c r="O632" s="3">
        <v>0.254936</v>
      </c>
      <c r="P632">
        <v>39904</v>
      </c>
      <c r="Q632" s="3">
        <v>2.13955E-3</v>
      </c>
      <c r="R632">
        <v>0</v>
      </c>
      <c r="S632" s="3">
        <v>0</v>
      </c>
    </row>
    <row r="633" spans="1:19" x14ac:dyDescent="0.3">
      <c r="A633" t="s">
        <v>515</v>
      </c>
      <c r="B633" t="s">
        <v>236</v>
      </c>
      <c r="C633" t="s">
        <v>140</v>
      </c>
      <c r="D633" s="1" t="s">
        <v>475</v>
      </c>
      <c r="F633" t="s">
        <v>376</v>
      </c>
      <c r="H633" t="s">
        <v>314</v>
      </c>
      <c r="I633">
        <v>18535291</v>
      </c>
      <c r="J633">
        <v>9441535</v>
      </c>
      <c r="K633" s="3">
        <v>0.509382</v>
      </c>
      <c r="L633">
        <v>13796436</v>
      </c>
      <c r="M633" s="3">
        <v>0.74433300000000002</v>
      </c>
      <c r="N633">
        <v>4738855</v>
      </c>
      <c r="O633" s="3">
        <v>0.25566699999999998</v>
      </c>
      <c r="P633">
        <v>43091</v>
      </c>
      <c r="Q633" s="3">
        <v>2.3248100000000001E-3</v>
      </c>
      <c r="R633">
        <v>0</v>
      </c>
      <c r="S633" s="3">
        <v>0</v>
      </c>
    </row>
    <row r="634" spans="1:19" x14ac:dyDescent="0.3">
      <c r="A634" t="s">
        <v>515</v>
      </c>
      <c r="B634" t="s">
        <v>236</v>
      </c>
      <c r="C634" t="s">
        <v>140</v>
      </c>
      <c r="D634" s="1" t="s">
        <v>475</v>
      </c>
      <c r="F634" t="s">
        <v>366</v>
      </c>
      <c r="H634" t="s">
        <v>314</v>
      </c>
      <c r="I634">
        <v>311674577</v>
      </c>
      <c r="J634">
        <v>162119831</v>
      </c>
      <c r="K634" s="3">
        <v>0.52015699999999998</v>
      </c>
      <c r="L634">
        <v>230131575</v>
      </c>
      <c r="M634" s="3">
        <v>0.738371</v>
      </c>
      <c r="N634">
        <v>81543002</v>
      </c>
      <c r="O634" s="3">
        <v>0.261629</v>
      </c>
      <c r="P634">
        <v>694785</v>
      </c>
      <c r="Q634" s="3">
        <v>2.2292000000000002E-3</v>
      </c>
      <c r="R634">
        <v>0</v>
      </c>
      <c r="S634" s="3">
        <v>0</v>
      </c>
    </row>
    <row r="635" spans="1:19" x14ac:dyDescent="0.3">
      <c r="A635" t="s">
        <v>515</v>
      </c>
      <c r="B635" t="s">
        <v>236</v>
      </c>
      <c r="C635" t="s">
        <v>140</v>
      </c>
      <c r="D635" s="1" t="s">
        <v>475</v>
      </c>
      <c r="F635" t="s">
        <v>367</v>
      </c>
      <c r="H635" t="s">
        <v>314</v>
      </c>
      <c r="I635">
        <v>17290738</v>
      </c>
      <c r="J635">
        <v>9018351</v>
      </c>
      <c r="K635" s="3">
        <v>0.52157100000000001</v>
      </c>
      <c r="L635">
        <v>12774208</v>
      </c>
      <c r="M635" s="3">
        <v>0.73878900000000003</v>
      </c>
      <c r="N635">
        <v>4516530</v>
      </c>
      <c r="O635" s="3">
        <v>0.26121100000000003</v>
      </c>
      <c r="P635">
        <v>40176</v>
      </c>
      <c r="Q635" s="3">
        <v>2.3235600000000001E-3</v>
      </c>
      <c r="R635">
        <v>0</v>
      </c>
      <c r="S635" s="3">
        <v>0</v>
      </c>
    </row>
    <row r="636" spans="1:19" x14ac:dyDescent="0.3">
      <c r="A636" t="s">
        <v>515</v>
      </c>
      <c r="B636" t="s">
        <v>236</v>
      </c>
      <c r="C636" t="s">
        <v>140</v>
      </c>
      <c r="D636" s="1" t="s">
        <v>475</v>
      </c>
      <c r="F636" t="s">
        <v>379</v>
      </c>
      <c r="H636" t="s">
        <v>314</v>
      </c>
      <c r="I636">
        <v>17520274</v>
      </c>
      <c r="J636">
        <v>9200861</v>
      </c>
      <c r="K636" s="3">
        <v>0.52515500000000004</v>
      </c>
      <c r="L636">
        <v>12897197</v>
      </c>
      <c r="M636" s="3">
        <v>0.73612999999999995</v>
      </c>
      <c r="N636">
        <v>4623077</v>
      </c>
      <c r="O636" s="3">
        <v>0.26386999999999999</v>
      </c>
      <c r="P636">
        <v>37819</v>
      </c>
      <c r="Q636" s="3">
        <v>2.1585900000000002E-3</v>
      </c>
      <c r="R636">
        <v>0</v>
      </c>
      <c r="S636" s="3">
        <v>0</v>
      </c>
    </row>
    <row r="637" spans="1:19" x14ac:dyDescent="0.3">
      <c r="A637" t="s">
        <v>515</v>
      </c>
      <c r="B637" t="s">
        <v>236</v>
      </c>
      <c r="C637" t="s">
        <v>140</v>
      </c>
      <c r="D637" s="1" t="s">
        <v>475</v>
      </c>
      <c r="F637" t="s">
        <v>434</v>
      </c>
      <c r="H637" t="s">
        <v>314</v>
      </c>
      <c r="I637">
        <v>17638368</v>
      </c>
      <c r="J637">
        <v>9326726</v>
      </c>
      <c r="K637" s="3">
        <v>0.528775</v>
      </c>
      <c r="L637">
        <v>12957802</v>
      </c>
      <c r="M637" s="3">
        <v>0.73463699999999998</v>
      </c>
      <c r="N637">
        <v>4680566</v>
      </c>
      <c r="O637" s="3">
        <v>0.26536300000000002</v>
      </c>
      <c r="P637">
        <v>39960</v>
      </c>
      <c r="Q637" s="3">
        <v>2.26552E-3</v>
      </c>
      <c r="R637">
        <v>0</v>
      </c>
      <c r="S637" s="3">
        <v>0</v>
      </c>
    </row>
    <row r="638" spans="1:19" x14ac:dyDescent="0.3">
      <c r="A638" t="s">
        <v>515</v>
      </c>
      <c r="B638" t="s">
        <v>236</v>
      </c>
      <c r="C638" t="s">
        <v>140</v>
      </c>
      <c r="D638" s="1" t="s">
        <v>475</v>
      </c>
      <c r="F638" t="s">
        <v>377</v>
      </c>
      <c r="H638" t="s">
        <v>314</v>
      </c>
      <c r="I638">
        <v>18773510</v>
      </c>
      <c r="J638">
        <v>9999602</v>
      </c>
      <c r="K638" s="3">
        <v>0.53264400000000001</v>
      </c>
      <c r="L638">
        <v>13755438</v>
      </c>
      <c r="M638" s="3">
        <v>0.73270500000000005</v>
      </c>
      <c r="N638">
        <v>5018072</v>
      </c>
      <c r="O638" s="3">
        <v>0.267295</v>
      </c>
      <c r="P638">
        <v>45245</v>
      </c>
      <c r="Q638" s="3">
        <v>2.41004E-3</v>
      </c>
      <c r="R638">
        <v>0</v>
      </c>
      <c r="S638" s="3">
        <v>0</v>
      </c>
    </row>
    <row r="639" spans="1:19" x14ac:dyDescent="0.3">
      <c r="A639" t="s">
        <v>515</v>
      </c>
      <c r="B639" t="s">
        <v>236</v>
      </c>
      <c r="C639" t="s">
        <v>140</v>
      </c>
      <c r="D639" s="1" t="s">
        <v>475</v>
      </c>
      <c r="F639" t="s">
        <v>368</v>
      </c>
      <c r="H639" t="s">
        <v>314</v>
      </c>
      <c r="I639">
        <v>19593055</v>
      </c>
      <c r="J639">
        <v>10508051</v>
      </c>
      <c r="K639" s="3">
        <v>0.53631499999999999</v>
      </c>
      <c r="L639">
        <v>14317350</v>
      </c>
      <c r="M639" s="3">
        <v>0.73073600000000005</v>
      </c>
      <c r="N639">
        <v>5275705</v>
      </c>
      <c r="O639" s="3">
        <v>0.269264</v>
      </c>
      <c r="P639">
        <v>61974</v>
      </c>
      <c r="Q639" s="3">
        <v>3.1630600000000001E-3</v>
      </c>
      <c r="R639">
        <v>0</v>
      </c>
      <c r="S639" s="3">
        <v>0</v>
      </c>
    </row>
    <row r="640" spans="1:19" x14ac:dyDescent="0.3">
      <c r="A640" t="s">
        <v>515</v>
      </c>
      <c r="B640" t="s">
        <v>236</v>
      </c>
      <c r="C640" t="s">
        <v>140</v>
      </c>
      <c r="D640" s="1" t="s">
        <v>475</v>
      </c>
      <c r="F640" t="s">
        <v>365</v>
      </c>
      <c r="H640" t="s">
        <v>314</v>
      </c>
      <c r="I640">
        <v>264833555</v>
      </c>
      <c r="J640">
        <v>142188492</v>
      </c>
      <c r="K640" s="3">
        <v>0.53689799999999999</v>
      </c>
      <c r="L640">
        <v>193391489</v>
      </c>
      <c r="M640" s="3">
        <v>0.73023800000000005</v>
      </c>
      <c r="N640">
        <v>71442066</v>
      </c>
      <c r="O640" s="3">
        <v>0.269762</v>
      </c>
      <c r="P640">
        <v>648523</v>
      </c>
      <c r="Q640" s="3">
        <v>2.4487900000000002E-3</v>
      </c>
      <c r="R640">
        <v>0</v>
      </c>
      <c r="S640" s="3">
        <v>0</v>
      </c>
    </row>
    <row r="641" spans="1:19" x14ac:dyDescent="0.3">
      <c r="A641" t="s">
        <v>515</v>
      </c>
      <c r="B641" t="s">
        <v>236</v>
      </c>
      <c r="C641" t="s">
        <v>140</v>
      </c>
      <c r="D641" s="1" t="s">
        <v>475</v>
      </c>
      <c r="F641" t="s">
        <v>371</v>
      </c>
      <c r="H641" t="s">
        <v>314</v>
      </c>
      <c r="I641">
        <v>16296687</v>
      </c>
      <c r="J641">
        <v>8754391</v>
      </c>
      <c r="K641" s="3">
        <v>0.537188</v>
      </c>
      <c r="L641">
        <v>11895572</v>
      </c>
      <c r="M641" s="3">
        <v>0.72993799999999998</v>
      </c>
      <c r="N641">
        <v>4401115</v>
      </c>
      <c r="O641" s="3">
        <v>0.27006200000000002</v>
      </c>
      <c r="P641">
        <v>42230</v>
      </c>
      <c r="Q641" s="3">
        <v>2.5913199999999998E-3</v>
      </c>
      <c r="R641">
        <v>0</v>
      </c>
      <c r="S641" s="3">
        <v>0</v>
      </c>
    </row>
    <row r="642" spans="1:19" x14ac:dyDescent="0.3">
      <c r="A642" t="s">
        <v>515</v>
      </c>
      <c r="B642" t="s">
        <v>236</v>
      </c>
      <c r="C642" t="s">
        <v>140</v>
      </c>
      <c r="D642" s="1" t="s">
        <v>475</v>
      </c>
      <c r="F642" t="s">
        <v>380</v>
      </c>
      <c r="H642" t="s">
        <v>314</v>
      </c>
      <c r="I642">
        <v>16872942</v>
      </c>
      <c r="J642">
        <v>9072943</v>
      </c>
      <c r="K642" s="3">
        <v>0.537721</v>
      </c>
      <c r="L642">
        <v>12318072</v>
      </c>
      <c r="M642" s="3">
        <v>0.73004899999999995</v>
      </c>
      <c r="N642">
        <v>4554870</v>
      </c>
      <c r="O642" s="3">
        <v>0.269951</v>
      </c>
      <c r="P642">
        <v>39228</v>
      </c>
      <c r="Q642" s="3">
        <v>2.3249099999999999E-3</v>
      </c>
      <c r="R642">
        <v>0</v>
      </c>
      <c r="S642" s="3">
        <v>0</v>
      </c>
    </row>
    <row r="643" spans="1:19" x14ac:dyDescent="0.3">
      <c r="A643" t="s">
        <v>515</v>
      </c>
      <c r="B643" t="s">
        <v>236</v>
      </c>
      <c r="C643" t="s">
        <v>140</v>
      </c>
      <c r="D643" s="1" t="s">
        <v>475</v>
      </c>
      <c r="F643" t="s">
        <v>378</v>
      </c>
      <c r="H643" t="s">
        <v>314</v>
      </c>
      <c r="I643">
        <v>17273502</v>
      </c>
      <c r="J643">
        <v>9650896</v>
      </c>
      <c r="K643" s="3">
        <v>0.55871099999999996</v>
      </c>
      <c r="L643">
        <v>12427053</v>
      </c>
      <c r="M643" s="3">
        <v>0.71942899999999999</v>
      </c>
      <c r="N643">
        <v>4846449</v>
      </c>
      <c r="O643" s="3">
        <v>0.28057100000000001</v>
      </c>
      <c r="P643">
        <v>41767</v>
      </c>
      <c r="Q643" s="3">
        <v>2.4179800000000001E-3</v>
      </c>
      <c r="R643">
        <v>0</v>
      </c>
      <c r="S643" s="3">
        <v>0</v>
      </c>
    </row>
    <row r="644" spans="1:19" x14ac:dyDescent="0.3">
      <c r="A644" t="s">
        <v>515</v>
      </c>
      <c r="B644" t="s">
        <v>236</v>
      </c>
      <c r="C644" t="s">
        <v>140</v>
      </c>
      <c r="D644" s="1" t="s">
        <v>475</v>
      </c>
      <c r="F644" t="s">
        <v>364</v>
      </c>
      <c r="H644" t="s">
        <v>314</v>
      </c>
      <c r="I644">
        <v>27286654</v>
      </c>
      <c r="J644">
        <v>15305054</v>
      </c>
      <c r="K644" s="3">
        <v>0.56089900000000004</v>
      </c>
      <c r="L644">
        <v>19620406</v>
      </c>
      <c r="M644" s="3">
        <v>0.71904800000000002</v>
      </c>
      <c r="N644">
        <v>7666248</v>
      </c>
      <c r="O644" s="3">
        <v>0.28095199999999998</v>
      </c>
      <c r="P644">
        <v>69053</v>
      </c>
      <c r="Q644" s="3">
        <v>2.5306500000000002E-3</v>
      </c>
      <c r="R644">
        <v>0</v>
      </c>
      <c r="S644" s="3">
        <v>0</v>
      </c>
    </row>
    <row r="645" spans="1:19" x14ac:dyDescent="0.3">
      <c r="A645" t="s">
        <v>515</v>
      </c>
      <c r="B645" t="s">
        <v>236</v>
      </c>
      <c r="C645" t="s">
        <v>140</v>
      </c>
      <c r="D645" s="1" t="s">
        <v>475</v>
      </c>
      <c r="F645" t="s">
        <v>363</v>
      </c>
      <c r="H645" t="s">
        <v>314</v>
      </c>
      <c r="I645">
        <v>35331374</v>
      </c>
      <c r="J645">
        <v>20322047</v>
      </c>
      <c r="K645" s="3">
        <v>0.57518400000000003</v>
      </c>
      <c r="L645">
        <v>25117536</v>
      </c>
      <c r="M645" s="3">
        <v>0.71091300000000002</v>
      </c>
      <c r="N645">
        <v>10213838</v>
      </c>
      <c r="O645" s="3">
        <v>0.28908699999999998</v>
      </c>
      <c r="P645">
        <v>92096</v>
      </c>
      <c r="Q645" s="3">
        <v>2.6066399999999999E-3</v>
      </c>
      <c r="R645">
        <v>0</v>
      </c>
      <c r="S645" s="3">
        <v>0</v>
      </c>
    </row>
    <row r="646" spans="1:19" x14ac:dyDescent="0.3">
      <c r="A646" t="s">
        <v>515</v>
      </c>
      <c r="B646" t="s">
        <v>236</v>
      </c>
      <c r="C646" t="s">
        <v>140</v>
      </c>
      <c r="D646" s="1" t="s">
        <v>475</v>
      </c>
      <c r="F646" t="s">
        <v>390</v>
      </c>
      <c r="H646" t="s">
        <v>314</v>
      </c>
      <c r="I646">
        <v>33654598</v>
      </c>
      <c r="J646">
        <v>20465890</v>
      </c>
      <c r="K646" s="3">
        <v>0.60811599999999999</v>
      </c>
      <c r="L646">
        <v>23360626</v>
      </c>
      <c r="M646" s="3">
        <v>0.694129</v>
      </c>
      <c r="N646">
        <v>10293972</v>
      </c>
      <c r="O646" s="3">
        <v>0.305871</v>
      </c>
      <c r="P646">
        <v>181959</v>
      </c>
      <c r="Q646" s="3">
        <v>5.4066599999999998E-3</v>
      </c>
      <c r="R646">
        <v>0</v>
      </c>
      <c r="S646" s="3">
        <v>0</v>
      </c>
    </row>
    <row r="647" spans="1:19" x14ac:dyDescent="0.3">
      <c r="A647" t="s">
        <v>515</v>
      </c>
      <c r="B647" t="s">
        <v>236</v>
      </c>
      <c r="C647" t="s">
        <v>140</v>
      </c>
      <c r="D647" s="1" t="s">
        <v>475</v>
      </c>
      <c r="F647" t="s">
        <v>447</v>
      </c>
      <c r="H647" t="s">
        <v>314</v>
      </c>
      <c r="I647">
        <v>15832420</v>
      </c>
      <c r="J647">
        <v>9673828</v>
      </c>
      <c r="K647" s="3">
        <v>0.61101399999999995</v>
      </c>
      <c r="L647">
        <v>10962340</v>
      </c>
      <c r="M647" s="3">
        <v>0.69239799999999996</v>
      </c>
      <c r="N647">
        <v>4870080</v>
      </c>
      <c r="O647" s="3">
        <v>0.30760199999999999</v>
      </c>
      <c r="P647">
        <v>133169</v>
      </c>
      <c r="Q647" s="3">
        <v>8.4111600000000009E-3</v>
      </c>
      <c r="R647">
        <v>0</v>
      </c>
      <c r="S647" s="3">
        <v>0</v>
      </c>
    </row>
    <row r="648" spans="1:19" x14ac:dyDescent="0.3">
      <c r="A648" t="s">
        <v>515</v>
      </c>
      <c r="B648" t="s">
        <v>236</v>
      </c>
      <c r="C648" t="s">
        <v>140</v>
      </c>
      <c r="D648" s="1" t="s">
        <v>475</v>
      </c>
      <c r="F648" t="s">
        <v>405</v>
      </c>
      <c r="H648" t="s">
        <v>314</v>
      </c>
      <c r="I648">
        <v>36590524</v>
      </c>
      <c r="J648">
        <v>22655512</v>
      </c>
      <c r="K648" s="3">
        <v>0.61916300000000002</v>
      </c>
      <c r="L648">
        <v>25249251</v>
      </c>
      <c r="M648" s="3">
        <v>0.69004900000000002</v>
      </c>
      <c r="N648">
        <v>11341273</v>
      </c>
      <c r="O648" s="3">
        <v>0.30995099999999998</v>
      </c>
      <c r="P648">
        <v>206549</v>
      </c>
      <c r="Q648" s="3">
        <v>5.6448799999999997E-3</v>
      </c>
      <c r="R648">
        <v>0</v>
      </c>
      <c r="S648" s="3">
        <v>0</v>
      </c>
    </row>
    <row r="649" spans="1:19" x14ac:dyDescent="0.3">
      <c r="A649" t="s">
        <v>515</v>
      </c>
      <c r="B649" t="s">
        <v>236</v>
      </c>
      <c r="C649" t="s">
        <v>140</v>
      </c>
      <c r="D649" s="1" t="s">
        <v>475</v>
      </c>
      <c r="F649" t="s">
        <v>448</v>
      </c>
      <c r="H649" t="s">
        <v>314</v>
      </c>
      <c r="I649">
        <v>24024400</v>
      </c>
      <c r="J649">
        <v>15004978</v>
      </c>
      <c r="K649" s="3">
        <v>0.62457200000000002</v>
      </c>
      <c r="L649">
        <v>16585977</v>
      </c>
      <c r="M649" s="3">
        <v>0.69037999999999999</v>
      </c>
      <c r="N649">
        <v>7438423</v>
      </c>
      <c r="O649" s="3">
        <v>0.30962000000000001</v>
      </c>
      <c r="P649">
        <v>167145</v>
      </c>
      <c r="Q649" s="3">
        <v>6.9572999999999996E-3</v>
      </c>
      <c r="R649">
        <v>0</v>
      </c>
      <c r="S649" s="3">
        <v>0</v>
      </c>
    </row>
    <row r="650" spans="1:19" x14ac:dyDescent="0.3">
      <c r="A650" t="s">
        <v>515</v>
      </c>
      <c r="B650" t="s">
        <v>236</v>
      </c>
      <c r="C650" t="s">
        <v>140</v>
      </c>
      <c r="D650" s="1" t="s">
        <v>475</v>
      </c>
      <c r="F650" t="s">
        <v>451</v>
      </c>
      <c r="H650" t="s">
        <v>314</v>
      </c>
      <c r="I650">
        <v>15879767</v>
      </c>
      <c r="J650">
        <v>10050729</v>
      </c>
      <c r="K650" s="3">
        <v>0.63292700000000002</v>
      </c>
      <c r="L650">
        <v>10887936</v>
      </c>
      <c r="M650" s="3">
        <v>0.68564800000000004</v>
      </c>
      <c r="N650">
        <v>4991831</v>
      </c>
      <c r="O650" s="3">
        <v>0.31435200000000002</v>
      </c>
      <c r="P650">
        <v>156438</v>
      </c>
      <c r="Q650" s="3">
        <v>9.8513999999999997E-3</v>
      </c>
      <c r="R650">
        <v>0</v>
      </c>
      <c r="S650" s="3">
        <v>0</v>
      </c>
    </row>
    <row r="651" spans="1:19" x14ac:dyDescent="0.3">
      <c r="A651" t="s">
        <v>515</v>
      </c>
      <c r="B651" t="s">
        <v>236</v>
      </c>
      <c r="C651" t="s">
        <v>140</v>
      </c>
      <c r="D651" s="1" t="s">
        <v>475</v>
      </c>
      <c r="F651" t="s">
        <v>397</v>
      </c>
      <c r="H651" t="s">
        <v>314</v>
      </c>
      <c r="I651">
        <v>37230988</v>
      </c>
      <c r="J651">
        <v>23565542</v>
      </c>
      <c r="K651" s="3">
        <v>0.63295500000000005</v>
      </c>
      <c r="L651">
        <v>25447045</v>
      </c>
      <c r="M651" s="3">
        <v>0.68349099999999996</v>
      </c>
      <c r="N651">
        <v>11783943</v>
      </c>
      <c r="O651" s="3">
        <v>0.31650899999999998</v>
      </c>
      <c r="P651">
        <v>267981</v>
      </c>
      <c r="Q651" s="3">
        <v>7.1977899999999999E-3</v>
      </c>
      <c r="R651">
        <v>0</v>
      </c>
      <c r="S651" s="3">
        <v>0</v>
      </c>
    </row>
    <row r="652" spans="1:19" x14ac:dyDescent="0.3">
      <c r="A652" t="s">
        <v>515</v>
      </c>
      <c r="B652" t="s">
        <v>236</v>
      </c>
      <c r="C652" t="s">
        <v>140</v>
      </c>
      <c r="D652" s="1" t="s">
        <v>475</v>
      </c>
      <c r="F652" t="s">
        <v>467</v>
      </c>
      <c r="H652" t="s">
        <v>314</v>
      </c>
      <c r="I652">
        <v>14931072</v>
      </c>
      <c r="J652">
        <v>9465808</v>
      </c>
      <c r="K652" s="3">
        <v>0.63396699999999995</v>
      </c>
      <c r="L652">
        <v>10236319</v>
      </c>
      <c r="M652" s="3">
        <v>0.68557199999999996</v>
      </c>
      <c r="N652">
        <v>4694753</v>
      </c>
      <c r="O652" s="3">
        <v>0.31442799999999999</v>
      </c>
      <c r="P652">
        <v>174523</v>
      </c>
      <c r="Q652" s="3">
        <v>1.16886E-2</v>
      </c>
      <c r="R652">
        <v>0</v>
      </c>
      <c r="S652" s="3">
        <v>0</v>
      </c>
    </row>
    <row r="653" spans="1:19" x14ac:dyDescent="0.3">
      <c r="A653" t="s">
        <v>515</v>
      </c>
      <c r="B653" t="s">
        <v>236</v>
      </c>
      <c r="C653" t="s">
        <v>140</v>
      </c>
      <c r="D653" s="1" t="s">
        <v>475</v>
      </c>
      <c r="F653" t="s">
        <v>460</v>
      </c>
      <c r="H653" t="s">
        <v>314</v>
      </c>
      <c r="I653">
        <v>24241875</v>
      </c>
      <c r="J653">
        <v>15423669</v>
      </c>
      <c r="K653" s="3">
        <v>0.63624099999999995</v>
      </c>
      <c r="L653">
        <v>16496760</v>
      </c>
      <c r="M653" s="3">
        <v>0.68050699999999997</v>
      </c>
      <c r="N653">
        <v>7745115</v>
      </c>
      <c r="O653" s="3">
        <v>0.31949300000000003</v>
      </c>
      <c r="P653">
        <v>198008</v>
      </c>
      <c r="Q653" s="3">
        <v>8.1680099999999999E-3</v>
      </c>
      <c r="R653">
        <v>0</v>
      </c>
      <c r="S653" s="3">
        <v>0</v>
      </c>
    </row>
    <row r="654" spans="1:19" x14ac:dyDescent="0.3">
      <c r="A654" t="s">
        <v>515</v>
      </c>
      <c r="B654" t="s">
        <v>236</v>
      </c>
      <c r="C654" t="s">
        <v>140</v>
      </c>
      <c r="D654" s="1" t="s">
        <v>475</v>
      </c>
      <c r="F654" t="s">
        <v>473</v>
      </c>
      <c r="H654" t="s">
        <v>314</v>
      </c>
      <c r="I654">
        <v>33269333</v>
      </c>
      <c r="J654">
        <v>21205973</v>
      </c>
      <c r="K654" s="3">
        <v>0.63740300000000005</v>
      </c>
      <c r="L654">
        <v>22617192</v>
      </c>
      <c r="M654" s="3">
        <v>0.67982100000000001</v>
      </c>
      <c r="N654">
        <v>10652141</v>
      </c>
      <c r="O654" s="3">
        <v>0.32017899999999999</v>
      </c>
      <c r="P654">
        <v>261779</v>
      </c>
      <c r="Q654" s="3">
        <v>7.8684800000000006E-3</v>
      </c>
      <c r="R654">
        <v>0</v>
      </c>
      <c r="S654" s="3">
        <v>0</v>
      </c>
    </row>
    <row r="655" spans="1:19" x14ac:dyDescent="0.3">
      <c r="A655" t="s">
        <v>515</v>
      </c>
      <c r="B655" t="s">
        <v>236</v>
      </c>
      <c r="C655" t="s">
        <v>140</v>
      </c>
      <c r="D655" s="1" t="s">
        <v>475</v>
      </c>
      <c r="F655" t="s">
        <v>474</v>
      </c>
      <c r="H655" t="s">
        <v>314</v>
      </c>
      <c r="I655">
        <v>23683500</v>
      </c>
      <c r="J655">
        <v>15142110</v>
      </c>
      <c r="K655" s="3">
        <v>0.63935299999999995</v>
      </c>
      <c r="L655">
        <v>16101035</v>
      </c>
      <c r="M655" s="3">
        <v>0.67984199999999995</v>
      </c>
      <c r="N655">
        <v>7582465</v>
      </c>
      <c r="O655" s="3">
        <v>0.320158</v>
      </c>
      <c r="P655">
        <v>159926</v>
      </c>
      <c r="Q655" s="3">
        <v>6.7526299999999999E-3</v>
      </c>
      <c r="R655">
        <v>0</v>
      </c>
      <c r="S655" s="3">
        <v>0</v>
      </c>
    </row>
    <row r="656" spans="1:19" x14ac:dyDescent="0.3">
      <c r="A656" t="s">
        <v>515</v>
      </c>
      <c r="B656" t="s">
        <v>236</v>
      </c>
      <c r="C656" t="s">
        <v>140</v>
      </c>
      <c r="D656" s="1" t="s">
        <v>475</v>
      </c>
      <c r="F656" t="s">
        <v>391</v>
      </c>
      <c r="H656" t="s">
        <v>314</v>
      </c>
      <c r="I656">
        <v>39585978</v>
      </c>
      <c r="J656">
        <v>25389112</v>
      </c>
      <c r="K656" s="3">
        <v>0.64136599999999999</v>
      </c>
      <c r="L656">
        <v>26883130</v>
      </c>
      <c r="M656" s="3">
        <v>0.67910700000000002</v>
      </c>
      <c r="N656">
        <v>12702848</v>
      </c>
      <c r="O656" s="3">
        <v>0.32089299999999998</v>
      </c>
      <c r="P656">
        <v>281092</v>
      </c>
      <c r="Q656" s="3">
        <v>7.1008E-3</v>
      </c>
      <c r="R656">
        <v>0</v>
      </c>
      <c r="S656" s="3">
        <v>0</v>
      </c>
    </row>
    <row r="657" spans="1:19" x14ac:dyDescent="0.3">
      <c r="A657" t="s">
        <v>515</v>
      </c>
      <c r="B657" t="s">
        <v>236</v>
      </c>
      <c r="C657" t="s">
        <v>140</v>
      </c>
      <c r="D657" s="1" t="s">
        <v>475</v>
      </c>
      <c r="F657" t="s">
        <v>443</v>
      </c>
      <c r="H657" t="s">
        <v>314</v>
      </c>
      <c r="I657">
        <v>17392690</v>
      </c>
      <c r="J657">
        <v>11188722</v>
      </c>
      <c r="K657" s="3">
        <v>0.64329999999999998</v>
      </c>
      <c r="L657">
        <v>11889731</v>
      </c>
      <c r="M657" s="3">
        <v>0.68360500000000002</v>
      </c>
      <c r="N657">
        <v>5502959</v>
      </c>
      <c r="O657" s="3">
        <v>0.31639499999999998</v>
      </c>
      <c r="P657">
        <v>165359</v>
      </c>
      <c r="Q657" s="3">
        <v>9.5073799999999993E-3</v>
      </c>
      <c r="R657">
        <v>0</v>
      </c>
      <c r="S657" s="3">
        <v>0</v>
      </c>
    </row>
    <row r="658" spans="1:19" x14ac:dyDescent="0.3">
      <c r="A658" t="s">
        <v>515</v>
      </c>
      <c r="B658" t="s">
        <v>236</v>
      </c>
      <c r="C658" t="s">
        <v>140</v>
      </c>
      <c r="D658" s="1" t="s">
        <v>475</v>
      </c>
      <c r="F658" t="s">
        <v>444</v>
      </c>
      <c r="H658" t="s">
        <v>314</v>
      </c>
      <c r="I658">
        <v>20168991</v>
      </c>
      <c r="J658">
        <v>12990200</v>
      </c>
      <c r="K658" s="3">
        <v>0.64406799999999997</v>
      </c>
      <c r="L658">
        <v>13881023</v>
      </c>
      <c r="M658" s="3">
        <v>0.68823599999999996</v>
      </c>
      <c r="N658">
        <v>6287968</v>
      </c>
      <c r="O658" s="3">
        <v>0.31176399999999999</v>
      </c>
      <c r="P658">
        <v>204915</v>
      </c>
      <c r="Q658" s="3">
        <v>1.0159899999999999E-2</v>
      </c>
      <c r="R658">
        <v>0</v>
      </c>
      <c r="S658" s="3">
        <v>0</v>
      </c>
    </row>
    <row r="659" spans="1:19" x14ac:dyDescent="0.3">
      <c r="A659" t="s">
        <v>515</v>
      </c>
      <c r="B659" t="s">
        <v>236</v>
      </c>
      <c r="C659" t="s">
        <v>140</v>
      </c>
      <c r="D659" s="1" t="s">
        <v>475</v>
      </c>
      <c r="F659" t="s">
        <v>432</v>
      </c>
      <c r="H659" t="s">
        <v>314</v>
      </c>
      <c r="I659">
        <v>49067783</v>
      </c>
      <c r="J659">
        <v>31640765</v>
      </c>
      <c r="K659" s="3">
        <v>0.64483800000000002</v>
      </c>
      <c r="L659">
        <v>33235805</v>
      </c>
      <c r="M659" s="3">
        <v>0.67734499999999997</v>
      </c>
      <c r="N659">
        <v>15831978</v>
      </c>
      <c r="O659" s="3">
        <v>0.32265500000000003</v>
      </c>
      <c r="P659">
        <v>399274</v>
      </c>
      <c r="Q659" s="3">
        <v>8.1371900000000007E-3</v>
      </c>
      <c r="R659">
        <v>0</v>
      </c>
      <c r="S659" s="3">
        <v>0</v>
      </c>
    </row>
    <row r="660" spans="1:19" x14ac:dyDescent="0.3">
      <c r="A660" t="s">
        <v>515</v>
      </c>
      <c r="B660" t="s">
        <v>236</v>
      </c>
      <c r="C660" t="s">
        <v>140</v>
      </c>
      <c r="D660" s="1" t="s">
        <v>475</v>
      </c>
      <c r="F660" t="s">
        <v>406</v>
      </c>
      <c r="H660" t="s">
        <v>314</v>
      </c>
      <c r="I660">
        <v>36960191</v>
      </c>
      <c r="J660">
        <v>23935748</v>
      </c>
      <c r="K660" s="3">
        <v>0.64760899999999999</v>
      </c>
      <c r="L660">
        <v>25011039</v>
      </c>
      <c r="M660" s="3">
        <v>0.67670200000000003</v>
      </c>
      <c r="N660">
        <v>11949152</v>
      </c>
      <c r="O660" s="3">
        <v>0.32329799999999997</v>
      </c>
      <c r="P660">
        <v>252310</v>
      </c>
      <c r="Q660" s="3">
        <v>6.8265299999999999E-3</v>
      </c>
      <c r="R660">
        <v>0</v>
      </c>
      <c r="S660" s="3">
        <v>0</v>
      </c>
    </row>
    <row r="661" spans="1:19" x14ac:dyDescent="0.3">
      <c r="A661" t="s">
        <v>515</v>
      </c>
      <c r="B661" t="s">
        <v>236</v>
      </c>
      <c r="C661" t="s">
        <v>140</v>
      </c>
      <c r="D661" s="1" t="s">
        <v>475</v>
      </c>
      <c r="F661" t="s">
        <v>445</v>
      </c>
      <c r="H661" t="s">
        <v>314</v>
      </c>
      <c r="I661">
        <v>14844949</v>
      </c>
      <c r="J661">
        <v>9614452</v>
      </c>
      <c r="K661" s="3">
        <v>0.64765799999999996</v>
      </c>
      <c r="L661">
        <v>10053334</v>
      </c>
      <c r="M661" s="3">
        <v>0.67722300000000002</v>
      </c>
      <c r="N661">
        <v>4791615</v>
      </c>
      <c r="O661" s="3">
        <v>0.32277699999999998</v>
      </c>
      <c r="P661">
        <v>130186</v>
      </c>
      <c r="Q661" s="3">
        <v>8.7697199999999999E-3</v>
      </c>
      <c r="R661">
        <v>0</v>
      </c>
      <c r="S661" s="3">
        <v>0</v>
      </c>
    </row>
    <row r="662" spans="1:19" x14ac:dyDescent="0.3">
      <c r="A662" t="s">
        <v>515</v>
      </c>
      <c r="B662" t="s">
        <v>236</v>
      </c>
      <c r="C662" t="s">
        <v>140</v>
      </c>
      <c r="D662" s="1" t="s">
        <v>475</v>
      </c>
      <c r="F662" t="s">
        <v>469</v>
      </c>
      <c r="H662" t="s">
        <v>314</v>
      </c>
      <c r="I662">
        <v>26811768</v>
      </c>
      <c r="J662">
        <v>17459649</v>
      </c>
      <c r="K662" s="3">
        <v>0.65119300000000002</v>
      </c>
      <c r="L662">
        <v>18134614</v>
      </c>
      <c r="M662" s="3">
        <v>0.67636799999999997</v>
      </c>
      <c r="N662">
        <v>8677154</v>
      </c>
      <c r="O662" s="3">
        <v>0.32363199999999998</v>
      </c>
      <c r="P662">
        <v>235606</v>
      </c>
      <c r="Q662" s="3">
        <v>8.7874100000000007E-3</v>
      </c>
      <c r="R662">
        <v>0</v>
      </c>
      <c r="S662" s="3">
        <v>0</v>
      </c>
    </row>
    <row r="663" spans="1:19" x14ac:dyDescent="0.3">
      <c r="A663" t="s">
        <v>515</v>
      </c>
      <c r="B663" t="s">
        <v>236</v>
      </c>
      <c r="C663" t="s">
        <v>140</v>
      </c>
      <c r="D663" s="1" t="s">
        <v>475</v>
      </c>
      <c r="F663" t="s">
        <v>465</v>
      </c>
      <c r="H663" t="s">
        <v>314</v>
      </c>
      <c r="I663">
        <v>15155146</v>
      </c>
      <c r="J663">
        <v>9872007</v>
      </c>
      <c r="K663" s="11">
        <v>0.65139599999999998</v>
      </c>
      <c r="L663">
        <v>10442650</v>
      </c>
      <c r="M663" s="3">
        <v>0.68905000000000005</v>
      </c>
      <c r="N663">
        <v>4712496</v>
      </c>
      <c r="O663" s="3">
        <v>0.31095</v>
      </c>
      <c r="P663">
        <v>169922</v>
      </c>
      <c r="Q663" s="3">
        <v>1.12122E-2</v>
      </c>
      <c r="R663">
        <v>0</v>
      </c>
      <c r="S663" s="3">
        <v>0</v>
      </c>
    </row>
    <row r="664" spans="1:19" x14ac:dyDescent="0.3">
      <c r="A664" t="s">
        <v>515</v>
      </c>
      <c r="B664" t="s">
        <v>236</v>
      </c>
      <c r="C664" t="s">
        <v>140</v>
      </c>
      <c r="D664" s="1" t="s">
        <v>475</v>
      </c>
      <c r="F664" t="s">
        <v>395</v>
      </c>
      <c r="H664" t="s">
        <v>314</v>
      </c>
      <c r="I664">
        <v>41030525</v>
      </c>
      <c r="J664">
        <v>26744447</v>
      </c>
      <c r="K664" s="3">
        <v>0.65181800000000001</v>
      </c>
      <c r="L664">
        <v>27676353</v>
      </c>
      <c r="M664" s="3">
        <v>0.67453099999999999</v>
      </c>
      <c r="N664">
        <v>13354172</v>
      </c>
      <c r="O664" s="3">
        <v>0.32546900000000001</v>
      </c>
      <c r="P664">
        <v>301553</v>
      </c>
      <c r="Q664" s="3">
        <v>7.3494800000000002E-3</v>
      </c>
      <c r="R664">
        <v>0</v>
      </c>
      <c r="S664" s="3">
        <v>0</v>
      </c>
    </row>
    <row r="665" spans="1:19" x14ac:dyDescent="0.3">
      <c r="A665" t="s">
        <v>515</v>
      </c>
      <c r="B665" t="s">
        <v>236</v>
      </c>
      <c r="C665" t="s">
        <v>140</v>
      </c>
      <c r="D665" s="1" t="s">
        <v>475</v>
      </c>
      <c r="F665" t="s">
        <v>471</v>
      </c>
      <c r="H665" t="s">
        <v>314</v>
      </c>
      <c r="I665">
        <v>23432254</v>
      </c>
      <c r="J665">
        <v>15314341</v>
      </c>
      <c r="K665" s="3">
        <v>0.65355799999999997</v>
      </c>
      <c r="L665">
        <v>15799240</v>
      </c>
      <c r="M665" s="3">
        <v>0.67425199999999996</v>
      </c>
      <c r="N665">
        <v>7633014</v>
      </c>
      <c r="O665" s="3">
        <v>0.32574799999999998</v>
      </c>
      <c r="P665">
        <v>218022</v>
      </c>
      <c r="Q665" s="3">
        <v>9.3043499999999994E-3</v>
      </c>
      <c r="R665">
        <v>0</v>
      </c>
      <c r="S665" s="3">
        <v>0</v>
      </c>
    </row>
    <row r="666" spans="1:19" x14ac:dyDescent="0.3">
      <c r="A666" t="s">
        <v>515</v>
      </c>
      <c r="B666" t="s">
        <v>236</v>
      </c>
      <c r="C666" t="s">
        <v>140</v>
      </c>
      <c r="D666" s="1" t="s">
        <v>475</v>
      </c>
      <c r="F666" t="s">
        <v>424</v>
      </c>
      <c r="H666" t="s">
        <v>314</v>
      </c>
      <c r="I666">
        <v>39532387</v>
      </c>
      <c r="J666">
        <v>25867182</v>
      </c>
      <c r="K666" s="3">
        <v>0.65432900000000005</v>
      </c>
      <c r="L666">
        <v>26558738</v>
      </c>
      <c r="M666" s="3">
        <v>0.67182200000000003</v>
      </c>
      <c r="N666">
        <v>12973649</v>
      </c>
      <c r="O666" s="3">
        <v>0.32817800000000003</v>
      </c>
      <c r="P666">
        <v>310695</v>
      </c>
      <c r="Q666" s="3">
        <v>7.8592499999999999E-3</v>
      </c>
      <c r="R666">
        <v>0</v>
      </c>
      <c r="S666" s="3">
        <v>0</v>
      </c>
    </row>
    <row r="667" spans="1:19" x14ac:dyDescent="0.3">
      <c r="A667" t="s">
        <v>515</v>
      </c>
      <c r="B667" t="s">
        <v>236</v>
      </c>
      <c r="C667" t="s">
        <v>140</v>
      </c>
      <c r="D667" s="1" t="s">
        <v>475</v>
      </c>
      <c r="F667" t="s">
        <v>400</v>
      </c>
      <c r="H667" t="s">
        <v>314</v>
      </c>
      <c r="I667">
        <v>35258083</v>
      </c>
      <c r="J667">
        <v>23084166</v>
      </c>
      <c r="K667" s="3">
        <v>0.65471999999999997</v>
      </c>
      <c r="L667">
        <v>23721884</v>
      </c>
      <c r="M667" s="3">
        <v>0.67280700000000004</v>
      </c>
      <c r="N667">
        <v>11536199</v>
      </c>
      <c r="O667" s="3">
        <v>0.32719300000000001</v>
      </c>
      <c r="P667">
        <v>232805</v>
      </c>
      <c r="Q667" s="3">
        <v>6.6028800000000002E-3</v>
      </c>
      <c r="R667">
        <v>0</v>
      </c>
      <c r="S667" s="3">
        <v>0</v>
      </c>
    </row>
    <row r="668" spans="1:19" x14ac:dyDescent="0.3">
      <c r="A668" t="s">
        <v>515</v>
      </c>
      <c r="B668" t="s">
        <v>236</v>
      </c>
      <c r="C668" t="s">
        <v>140</v>
      </c>
      <c r="D668" s="1" t="s">
        <v>475</v>
      </c>
      <c r="F668" t="s">
        <v>439</v>
      </c>
      <c r="H668" t="s">
        <v>314</v>
      </c>
      <c r="I668">
        <v>25788033</v>
      </c>
      <c r="J668">
        <v>16894032</v>
      </c>
      <c r="K668" s="3">
        <v>0.655111</v>
      </c>
      <c r="L668">
        <v>17370422</v>
      </c>
      <c r="M668" s="3">
        <v>0.67358499999999999</v>
      </c>
      <c r="N668">
        <v>8417611</v>
      </c>
      <c r="O668" s="3">
        <v>0.32641500000000001</v>
      </c>
      <c r="P668">
        <v>248282</v>
      </c>
      <c r="Q668" s="3">
        <v>9.6278000000000006E-3</v>
      </c>
      <c r="R668">
        <v>0</v>
      </c>
      <c r="S668" s="3">
        <v>0</v>
      </c>
    </row>
    <row r="669" spans="1:19" x14ac:dyDescent="0.3">
      <c r="A669" t="s">
        <v>515</v>
      </c>
      <c r="B669" t="s">
        <v>236</v>
      </c>
      <c r="C669" t="s">
        <v>140</v>
      </c>
      <c r="D669" s="1" t="s">
        <v>475</v>
      </c>
      <c r="F669" t="s">
        <v>442</v>
      </c>
      <c r="H669" t="s">
        <v>314</v>
      </c>
      <c r="I669">
        <v>18132177</v>
      </c>
      <c r="J669">
        <v>11894745</v>
      </c>
      <c r="K669" s="3">
        <v>0.65600199999999997</v>
      </c>
      <c r="L669">
        <v>12237579</v>
      </c>
      <c r="M669" s="3">
        <v>0.67491000000000001</v>
      </c>
      <c r="N669">
        <v>5894598</v>
      </c>
      <c r="O669" s="3">
        <v>0.32508999999999999</v>
      </c>
      <c r="P669">
        <v>179693</v>
      </c>
      <c r="Q669" s="3">
        <v>9.9101699999999994E-3</v>
      </c>
      <c r="R669">
        <v>0</v>
      </c>
      <c r="S669" s="3">
        <v>0</v>
      </c>
    </row>
    <row r="670" spans="1:19" x14ac:dyDescent="0.3">
      <c r="A670" t="s">
        <v>515</v>
      </c>
      <c r="B670" t="s">
        <v>236</v>
      </c>
      <c r="C670" t="s">
        <v>140</v>
      </c>
      <c r="D670" s="1" t="s">
        <v>475</v>
      </c>
      <c r="F670" t="s">
        <v>407</v>
      </c>
      <c r="H670" t="s">
        <v>314</v>
      </c>
      <c r="I670">
        <v>36962497</v>
      </c>
      <c r="J670">
        <v>24310268</v>
      </c>
      <c r="K670" s="3">
        <v>0.65770099999999998</v>
      </c>
      <c r="L670">
        <v>24811583</v>
      </c>
      <c r="M670" s="3">
        <v>0.67126399999999997</v>
      </c>
      <c r="N670">
        <v>12150914</v>
      </c>
      <c r="O670" s="3">
        <v>0.32873599999999997</v>
      </c>
      <c r="P670">
        <v>180822</v>
      </c>
      <c r="Q670" s="3">
        <v>4.8920400000000003E-3</v>
      </c>
      <c r="R670">
        <v>0</v>
      </c>
      <c r="S670" s="3">
        <v>0</v>
      </c>
    </row>
    <row r="671" spans="1:19" x14ac:dyDescent="0.3">
      <c r="A671" t="s">
        <v>515</v>
      </c>
      <c r="B671" t="s">
        <v>236</v>
      </c>
      <c r="C671" t="s">
        <v>140</v>
      </c>
      <c r="D671" s="1" t="s">
        <v>475</v>
      </c>
      <c r="F671" t="s">
        <v>393</v>
      </c>
      <c r="H671" t="s">
        <v>314</v>
      </c>
      <c r="I671">
        <v>46258886</v>
      </c>
      <c r="J671">
        <v>30562009</v>
      </c>
      <c r="K671" s="3">
        <v>0.66067299999999995</v>
      </c>
      <c r="L671">
        <v>30971626</v>
      </c>
      <c r="M671" s="3">
        <v>0.66952800000000001</v>
      </c>
      <c r="N671">
        <v>15287260</v>
      </c>
      <c r="O671" s="3">
        <v>0.33047199999999999</v>
      </c>
      <c r="P671">
        <v>355202</v>
      </c>
      <c r="Q671" s="3">
        <v>7.67857E-3</v>
      </c>
      <c r="R671">
        <v>0</v>
      </c>
      <c r="S671" s="3">
        <v>0</v>
      </c>
    </row>
    <row r="672" spans="1:19" x14ac:dyDescent="0.3">
      <c r="A672" t="s">
        <v>515</v>
      </c>
      <c r="B672" t="s">
        <v>236</v>
      </c>
      <c r="C672" t="s">
        <v>140</v>
      </c>
      <c r="D672" s="1" t="s">
        <v>475</v>
      </c>
      <c r="F672" t="s">
        <v>463</v>
      </c>
      <c r="H672" t="s">
        <v>314</v>
      </c>
      <c r="I672">
        <v>25858392</v>
      </c>
      <c r="J672">
        <v>17114303</v>
      </c>
      <c r="K672" s="3">
        <v>0.66184699999999996</v>
      </c>
      <c r="L672">
        <v>17256698</v>
      </c>
      <c r="M672" s="3">
        <v>0.667354</v>
      </c>
      <c r="N672">
        <v>8601694</v>
      </c>
      <c r="O672" s="3">
        <v>0.332646</v>
      </c>
      <c r="P672">
        <v>247640</v>
      </c>
      <c r="Q672" s="3">
        <v>9.5767700000000001E-3</v>
      </c>
      <c r="R672">
        <v>0</v>
      </c>
      <c r="S672" s="3">
        <v>0</v>
      </c>
    </row>
    <row r="673" spans="1:19" x14ac:dyDescent="0.3">
      <c r="A673" t="s">
        <v>515</v>
      </c>
      <c r="B673" t="s">
        <v>236</v>
      </c>
      <c r="C673" t="s">
        <v>140</v>
      </c>
      <c r="D673" s="1" t="s">
        <v>475</v>
      </c>
      <c r="F673" t="s">
        <v>455</v>
      </c>
      <c r="H673" t="s">
        <v>314</v>
      </c>
      <c r="I673">
        <v>21968372</v>
      </c>
      <c r="J673">
        <v>14562410</v>
      </c>
      <c r="K673" s="3">
        <v>0.66288100000000005</v>
      </c>
      <c r="L673">
        <v>14608258</v>
      </c>
      <c r="M673" s="3">
        <v>0.664968</v>
      </c>
      <c r="N673">
        <v>7360114</v>
      </c>
      <c r="O673" s="3">
        <v>0.335032</v>
      </c>
      <c r="P673">
        <v>174739</v>
      </c>
      <c r="Q673" s="3">
        <v>7.9541200000000003E-3</v>
      </c>
      <c r="R673">
        <v>0</v>
      </c>
      <c r="S673" s="3">
        <v>0</v>
      </c>
    </row>
    <row r="674" spans="1:19" x14ac:dyDescent="0.3">
      <c r="A674" t="s">
        <v>515</v>
      </c>
      <c r="B674" t="s">
        <v>236</v>
      </c>
      <c r="C674" t="s">
        <v>140</v>
      </c>
      <c r="D674" s="1" t="s">
        <v>475</v>
      </c>
      <c r="F674" t="s">
        <v>462</v>
      </c>
      <c r="H674" t="s">
        <v>314</v>
      </c>
      <c r="I674">
        <v>20843448</v>
      </c>
      <c r="J674">
        <v>13817497</v>
      </c>
      <c r="K674" s="3">
        <v>0.66291800000000001</v>
      </c>
      <c r="L674">
        <v>13953575</v>
      </c>
      <c r="M674" s="3">
        <v>0.66944700000000001</v>
      </c>
      <c r="N674">
        <v>6889873</v>
      </c>
      <c r="O674" s="3">
        <v>0.33055299999999999</v>
      </c>
      <c r="P674">
        <v>189502</v>
      </c>
      <c r="Q674" s="3">
        <v>9.0916799999999996E-3</v>
      </c>
      <c r="R674">
        <v>0</v>
      </c>
      <c r="S674" s="3">
        <v>0</v>
      </c>
    </row>
    <row r="675" spans="1:19" x14ac:dyDescent="0.3">
      <c r="A675" t="s">
        <v>515</v>
      </c>
      <c r="B675" t="s">
        <v>236</v>
      </c>
      <c r="C675" t="s">
        <v>140</v>
      </c>
      <c r="D675" s="1" t="s">
        <v>475</v>
      </c>
      <c r="F675" t="s">
        <v>453</v>
      </c>
      <c r="H675" t="s">
        <v>314</v>
      </c>
      <c r="I675">
        <v>27711695</v>
      </c>
      <c r="J675">
        <v>18375285</v>
      </c>
      <c r="K675" s="3">
        <v>0.66308800000000001</v>
      </c>
      <c r="L675">
        <v>18416475</v>
      </c>
      <c r="M675" s="3">
        <v>0.664574</v>
      </c>
      <c r="N675">
        <v>9295220</v>
      </c>
      <c r="O675" s="3">
        <v>0.335426</v>
      </c>
      <c r="P675">
        <v>206968</v>
      </c>
      <c r="Q675" s="3">
        <v>7.4686199999999996E-3</v>
      </c>
      <c r="R675">
        <v>0</v>
      </c>
      <c r="S675" s="3">
        <v>0</v>
      </c>
    </row>
    <row r="676" spans="1:19" x14ac:dyDescent="0.3">
      <c r="A676" t="s">
        <v>515</v>
      </c>
      <c r="B676" t="s">
        <v>236</v>
      </c>
      <c r="C676" t="s">
        <v>140</v>
      </c>
      <c r="D676" s="1" t="s">
        <v>475</v>
      </c>
      <c r="F676" t="s">
        <v>420</v>
      </c>
      <c r="H676" t="s">
        <v>314</v>
      </c>
      <c r="I676">
        <v>32621975</v>
      </c>
      <c r="J676">
        <v>21683997</v>
      </c>
      <c r="K676" s="3">
        <v>0.66470499999999999</v>
      </c>
      <c r="L676">
        <v>21771961</v>
      </c>
      <c r="M676" s="3">
        <v>0.66740200000000005</v>
      </c>
      <c r="N676">
        <v>10850014</v>
      </c>
      <c r="O676" s="3">
        <v>0.332598</v>
      </c>
      <c r="P676">
        <v>228670</v>
      </c>
      <c r="Q676" s="3">
        <v>7.0096899999999998E-3</v>
      </c>
      <c r="R676">
        <v>0</v>
      </c>
      <c r="S676" s="3">
        <v>0</v>
      </c>
    </row>
    <row r="677" spans="1:19" x14ac:dyDescent="0.3">
      <c r="A677" t="s">
        <v>515</v>
      </c>
      <c r="B677" t="s">
        <v>236</v>
      </c>
      <c r="C677" t="s">
        <v>140</v>
      </c>
      <c r="D677" s="1" t="s">
        <v>475</v>
      </c>
      <c r="F677" t="s">
        <v>449</v>
      </c>
      <c r="H677" t="s">
        <v>314</v>
      </c>
      <c r="I677">
        <v>17799774</v>
      </c>
      <c r="J677">
        <v>11843409</v>
      </c>
      <c r="K677" s="3">
        <v>0.66536799999999996</v>
      </c>
      <c r="L677">
        <v>11866264</v>
      </c>
      <c r="M677" s="3">
        <v>0.66665300000000005</v>
      </c>
      <c r="N677">
        <v>5933510</v>
      </c>
      <c r="O677" s="3">
        <v>0.33334799999999998</v>
      </c>
      <c r="P677">
        <v>179212</v>
      </c>
      <c r="Q677" s="3">
        <v>1.0068199999999999E-2</v>
      </c>
      <c r="R677">
        <v>0</v>
      </c>
      <c r="S677" s="3">
        <v>0</v>
      </c>
    </row>
    <row r="678" spans="1:19" x14ac:dyDescent="0.3">
      <c r="A678" t="s">
        <v>515</v>
      </c>
      <c r="B678" t="s">
        <v>236</v>
      </c>
      <c r="C678" t="s">
        <v>140</v>
      </c>
      <c r="D678" s="1" t="s">
        <v>475</v>
      </c>
      <c r="F678" t="s">
        <v>402</v>
      </c>
      <c r="H678" t="s">
        <v>314</v>
      </c>
      <c r="I678">
        <v>37465109</v>
      </c>
      <c r="J678">
        <v>24946897</v>
      </c>
      <c r="K678" s="3">
        <v>0.66586999999999996</v>
      </c>
      <c r="L678">
        <v>25020153</v>
      </c>
      <c r="M678" s="3">
        <v>0.667825</v>
      </c>
      <c r="N678">
        <v>12444956</v>
      </c>
      <c r="O678" s="3">
        <v>0.332175</v>
      </c>
      <c r="P678">
        <v>268661</v>
      </c>
      <c r="Q678" s="3">
        <v>7.1709699999999996E-3</v>
      </c>
      <c r="R678">
        <v>0</v>
      </c>
      <c r="S678" s="3">
        <v>0</v>
      </c>
    </row>
    <row r="679" spans="1:19" x14ac:dyDescent="0.3">
      <c r="A679" t="s">
        <v>515</v>
      </c>
      <c r="B679" t="s">
        <v>236</v>
      </c>
      <c r="C679" t="s">
        <v>140</v>
      </c>
      <c r="D679" s="1" t="s">
        <v>475</v>
      </c>
      <c r="F679" t="s">
        <v>417</v>
      </c>
      <c r="H679" t="s">
        <v>314</v>
      </c>
      <c r="I679">
        <v>38293252</v>
      </c>
      <c r="J679">
        <v>25604797</v>
      </c>
      <c r="K679" s="3">
        <v>0.66864999999999997</v>
      </c>
      <c r="L679">
        <v>25525149</v>
      </c>
      <c r="M679" s="3">
        <v>0.66657</v>
      </c>
      <c r="N679">
        <v>12768103</v>
      </c>
      <c r="O679" s="3">
        <v>0.33343</v>
      </c>
      <c r="P679">
        <v>293811</v>
      </c>
      <c r="Q679" s="3">
        <v>7.6726600000000004E-3</v>
      </c>
      <c r="R679">
        <v>0</v>
      </c>
      <c r="S679" s="3">
        <v>0</v>
      </c>
    </row>
    <row r="680" spans="1:19" x14ac:dyDescent="0.3">
      <c r="A680" t="s">
        <v>515</v>
      </c>
      <c r="B680" t="s">
        <v>236</v>
      </c>
      <c r="C680" t="s">
        <v>140</v>
      </c>
      <c r="D680" s="1" t="s">
        <v>475</v>
      </c>
      <c r="F680" t="s">
        <v>441</v>
      </c>
      <c r="H680" t="s">
        <v>314</v>
      </c>
      <c r="I680">
        <v>27947304</v>
      </c>
      <c r="J680">
        <v>18707184</v>
      </c>
      <c r="K680" s="3">
        <v>0.669373</v>
      </c>
      <c r="L680">
        <v>18588997</v>
      </c>
      <c r="M680" s="3">
        <v>0.66514499999999999</v>
      </c>
      <c r="N680">
        <v>9358307</v>
      </c>
      <c r="O680" s="3">
        <v>0.33485500000000001</v>
      </c>
      <c r="P680">
        <v>255257</v>
      </c>
      <c r="Q680" s="3">
        <v>9.1335099999999992E-3</v>
      </c>
      <c r="R680">
        <v>0</v>
      </c>
      <c r="S680" s="3">
        <v>0</v>
      </c>
    </row>
    <row r="681" spans="1:19" x14ac:dyDescent="0.3">
      <c r="A681" t="s">
        <v>515</v>
      </c>
      <c r="B681" t="s">
        <v>236</v>
      </c>
      <c r="C681" t="s">
        <v>140</v>
      </c>
      <c r="D681" s="1" t="s">
        <v>475</v>
      </c>
      <c r="F681" t="s">
        <v>452</v>
      </c>
      <c r="H681" t="s">
        <v>314</v>
      </c>
      <c r="I681">
        <v>23005655</v>
      </c>
      <c r="J681">
        <v>15408896</v>
      </c>
      <c r="K681" s="3">
        <v>0.66978700000000002</v>
      </c>
      <c r="L681">
        <v>15243454</v>
      </c>
      <c r="M681" s="3">
        <v>0.66259599999999996</v>
      </c>
      <c r="N681">
        <v>7762201</v>
      </c>
      <c r="O681" s="3">
        <v>0.33740399999999998</v>
      </c>
      <c r="P681">
        <v>214319</v>
      </c>
      <c r="Q681" s="3">
        <v>9.31593E-3</v>
      </c>
      <c r="R681">
        <v>0</v>
      </c>
      <c r="S681" s="3">
        <v>0</v>
      </c>
    </row>
    <row r="682" spans="1:19" x14ac:dyDescent="0.3">
      <c r="A682" t="s">
        <v>515</v>
      </c>
      <c r="B682" t="s">
        <v>236</v>
      </c>
      <c r="C682" t="s">
        <v>140</v>
      </c>
      <c r="D682" s="1" t="s">
        <v>475</v>
      </c>
      <c r="F682" t="s">
        <v>430</v>
      </c>
      <c r="H682" t="s">
        <v>314</v>
      </c>
      <c r="I682">
        <v>47968671</v>
      </c>
      <c r="J682">
        <v>32213111</v>
      </c>
      <c r="K682" s="3">
        <v>0.67154499999999995</v>
      </c>
      <c r="L682">
        <v>31898706</v>
      </c>
      <c r="M682" s="3">
        <v>0.66498999999999997</v>
      </c>
      <c r="N682">
        <v>16069965</v>
      </c>
      <c r="O682" s="3">
        <v>0.33500999999999997</v>
      </c>
      <c r="P682">
        <v>393602</v>
      </c>
      <c r="Q682" s="3">
        <v>8.2053999999999998E-3</v>
      </c>
      <c r="R682">
        <v>0</v>
      </c>
      <c r="S682" s="3">
        <v>0</v>
      </c>
    </row>
    <row r="683" spans="1:19" x14ac:dyDescent="0.3">
      <c r="A683" t="s">
        <v>515</v>
      </c>
      <c r="B683" t="s">
        <v>236</v>
      </c>
      <c r="C683" t="s">
        <v>140</v>
      </c>
      <c r="D683" s="1" t="s">
        <v>475</v>
      </c>
      <c r="F683" t="s">
        <v>470</v>
      </c>
      <c r="H683" t="s">
        <v>314</v>
      </c>
      <c r="I683">
        <v>23687312</v>
      </c>
      <c r="J683">
        <v>16007859</v>
      </c>
      <c r="K683" s="3">
        <v>0.67579900000000004</v>
      </c>
      <c r="L683">
        <v>15755085</v>
      </c>
      <c r="M683" s="3">
        <v>0.66512800000000005</v>
      </c>
      <c r="N683">
        <v>7932227</v>
      </c>
      <c r="O683" s="3">
        <v>0.334872</v>
      </c>
      <c r="P683">
        <v>230162</v>
      </c>
      <c r="Q683" s="3">
        <v>9.7166800000000001E-3</v>
      </c>
      <c r="R683">
        <v>0</v>
      </c>
      <c r="S683" s="3">
        <v>0</v>
      </c>
    </row>
    <row r="684" spans="1:19" x14ac:dyDescent="0.3">
      <c r="A684" t="s">
        <v>515</v>
      </c>
      <c r="B684" t="s">
        <v>236</v>
      </c>
      <c r="C684" t="s">
        <v>140</v>
      </c>
      <c r="D684" s="1" t="s">
        <v>475</v>
      </c>
      <c r="F684" t="s">
        <v>437</v>
      </c>
      <c r="H684" t="s">
        <v>314</v>
      </c>
      <c r="I684">
        <v>248155712</v>
      </c>
      <c r="J684">
        <v>167732972</v>
      </c>
      <c r="K684" s="3">
        <v>0.67591800000000002</v>
      </c>
      <c r="L684">
        <v>163873913</v>
      </c>
      <c r="M684" s="3">
        <v>0.66036700000000004</v>
      </c>
      <c r="N684">
        <v>84281799</v>
      </c>
      <c r="O684" s="3">
        <v>0.33963300000000002</v>
      </c>
      <c r="P684">
        <v>816093</v>
      </c>
      <c r="Q684" s="3">
        <v>3.2886299999999999E-3</v>
      </c>
      <c r="R684">
        <v>0</v>
      </c>
      <c r="S684" s="3">
        <v>0</v>
      </c>
    </row>
    <row r="685" spans="1:19" x14ac:dyDescent="0.3">
      <c r="A685" t="s">
        <v>515</v>
      </c>
      <c r="B685" t="s">
        <v>236</v>
      </c>
      <c r="C685" t="s">
        <v>140</v>
      </c>
      <c r="D685" s="1" t="s">
        <v>475</v>
      </c>
      <c r="F685" t="s">
        <v>423</v>
      </c>
      <c r="H685" t="s">
        <v>314</v>
      </c>
      <c r="I685">
        <v>39006088</v>
      </c>
      <c r="J685">
        <v>26416287</v>
      </c>
      <c r="K685" s="3">
        <v>0.67723500000000003</v>
      </c>
      <c r="L685">
        <v>25764502</v>
      </c>
      <c r="M685" s="3">
        <v>0.66052500000000003</v>
      </c>
      <c r="N685">
        <v>13241586</v>
      </c>
      <c r="O685" s="3">
        <v>0.33947500000000003</v>
      </c>
      <c r="P685">
        <v>281223</v>
      </c>
      <c r="Q685" s="3">
        <v>7.2097200000000002E-3</v>
      </c>
      <c r="R685">
        <v>0</v>
      </c>
      <c r="S685" s="3">
        <v>0</v>
      </c>
    </row>
    <row r="686" spans="1:19" x14ac:dyDescent="0.3">
      <c r="A686" t="s">
        <v>515</v>
      </c>
      <c r="B686" t="s">
        <v>236</v>
      </c>
      <c r="C686" t="s">
        <v>140</v>
      </c>
      <c r="D686" s="1" t="s">
        <v>475</v>
      </c>
      <c r="F686" t="s">
        <v>404</v>
      </c>
      <c r="H686" t="s">
        <v>314</v>
      </c>
      <c r="I686">
        <v>35160405</v>
      </c>
      <c r="J686">
        <v>23868613</v>
      </c>
      <c r="K686" s="3">
        <v>0.67884900000000004</v>
      </c>
      <c r="L686">
        <v>23224240</v>
      </c>
      <c r="M686" s="3">
        <v>0.66052299999999997</v>
      </c>
      <c r="N686">
        <v>11936165</v>
      </c>
      <c r="O686" s="3">
        <v>0.33947699999999997</v>
      </c>
      <c r="P686">
        <v>269573</v>
      </c>
      <c r="Q686" s="3">
        <v>7.6669499999999996E-3</v>
      </c>
      <c r="R686">
        <v>0</v>
      </c>
      <c r="S686" s="3">
        <v>0</v>
      </c>
    </row>
    <row r="687" spans="1:19" x14ac:dyDescent="0.3">
      <c r="A687" t="s">
        <v>515</v>
      </c>
      <c r="B687" t="s">
        <v>236</v>
      </c>
      <c r="C687" t="s">
        <v>140</v>
      </c>
      <c r="D687" s="1" t="s">
        <v>475</v>
      </c>
      <c r="F687" t="s">
        <v>440</v>
      </c>
      <c r="H687" t="s">
        <v>314</v>
      </c>
      <c r="I687">
        <v>25539301</v>
      </c>
      <c r="J687">
        <v>17400610</v>
      </c>
      <c r="K687" s="3">
        <v>0.68132700000000002</v>
      </c>
      <c r="L687">
        <v>16888898</v>
      </c>
      <c r="M687" s="3">
        <v>0.66129099999999996</v>
      </c>
      <c r="N687">
        <v>8650403</v>
      </c>
      <c r="O687" s="3">
        <v>0.33870899999999998</v>
      </c>
      <c r="P687">
        <v>294400</v>
      </c>
      <c r="Q687" s="3">
        <v>1.1527300000000001E-2</v>
      </c>
      <c r="R687">
        <v>0</v>
      </c>
      <c r="S687" s="3">
        <v>0</v>
      </c>
    </row>
    <row r="688" spans="1:19" x14ac:dyDescent="0.3">
      <c r="A688" t="s">
        <v>515</v>
      </c>
      <c r="B688" t="s">
        <v>236</v>
      </c>
      <c r="C688" t="s">
        <v>140</v>
      </c>
      <c r="D688" s="1" t="s">
        <v>475</v>
      </c>
      <c r="F688" t="s">
        <v>446</v>
      </c>
      <c r="H688" t="s">
        <v>314</v>
      </c>
      <c r="I688">
        <v>18380436</v>
      </c>
      <c r="J688">
        <v>12581406</v>
      </c>
      <c r="K688" s="3">
        <v>0.6845</v>
      </c>
      <c r="L688">
        <v>12064160</v>
      </c>
      <c r="M688" s="3">
        <v>0.65635900000000003</v>
      </c>
      <c r="N688">
        <v>6316276</v>
      </c>
      <c r="O688" s="3">
        <v>0.34364099999999997</v>
      </c>
      <c r="P688">
        <v>133336</v>
      </c>
      <c r="Q688" s="3">
        <v>7.2542400000000003E-3</v>
      </c>
      <c r="R688">
        <v>0</v>
      </c>
      <c r="S688" s="3">
        <v>0</v>
      </c>
    </row>
    <row r="689" spans="1:19" x14ac:dyDescent="0.3">
      <c r="A689" t="s">
        <v>515</v>
      </c>
      <c r="B689" t="s">
        <v>236</v>
      </c>
      <c r="C689" t="s">
        <v>140</v>
      </c>
      <c r="D689" s="1" t="s">
        <v>475</v>
      </c>
      <c r="F689" t="s">
        <v>396</v>
      </c>
      <c r="H689" t="s">
        <v>314</v>
      </c>
      <c r="I689">
        <v>36103749</v>
      </c>
      <c r="J689">
        <v>24725788</v>
      </c>
      <c r="K689" s="3">
        <v>0.68485399999999996</v>
      </c>
      <c r="L689">
        <v>23646195</v>
      </c>
      <c r="M689" s="3">
        <v>0.65495099999999995</v>
      </c>
      <c r="N689">
        <v>12457554</v>
      </c>
      <c r="O689" s="3">
        <v>0.34504899999999999</v>
      </c>
      <c r="P689">
        <v>261555</v>
      </c>
      <c r="Q689" s="3">
        <v>7.2445399999999998E-3</v>
      </c>
      <c r="R689">
        <v>0</v>
      </c>
      <c r="S689" s="3">
        <v>0</v>
      </c>
    </row>
    <row r="690" spans="1:19" x14ac:dyDescent="0.3">
      <c r="A690" t="s">
        <v>515</v>
      </c>
      <c r="B690" t="s">
        <v>236</v>
      </c>
      <c r="C690" t="s">
        <v>140</v>
      </c>
      <c r="D690" s="1" t="s">
        <v>475</v>
      </c>
      <c r="F690" t="s">
        <v>398</v>
      </c>
      <c r="H690" t="s">
        <v>314</v>
      </c>
      <c r="I690">
        <v>37799027</v>
      </c>
      <c r="J690">
        <v>25972072</v>
      </c>
      <c r="K690" s="3">
        <v>0.68711</v>
      </c>
      <c r="L690">
        <v>24814278</v>
      </c>
      <c r="M690" s="3">
        <v>0.65647900000000003</v>
      </c>
      <c r="N690">
        <v>12984749</v>
      </c>
      <c r="O690" s="3">
        <v>0.34352100000000002</v>
      </c>
      <c r="P690">
        <v>271386</v>
      </c>
      <c r="Q690" s="3">
        <v>7.1797099999999997E-3</v>
      </c>
      <c r="R690">
        <v>0</v>
      </c>
      <c r="S690" s="3">
        <v>0</v>
      </c>
    </row>
    <row r="691" spans="1:19" x14ac:dyDescent="0.3">
      <c r="A691" t="s">
        <v>515</v>
      </c>
      <c r="B691" t="s">
        <v>236</v>
      </c>
      <c r="C691" t="s">
        <v>140</v>
      </c>
      <c r="D691" s="1" t="s">
        <v>475</v>
      </c>
      <c r="F691" t="s">
        <v>468</v>
      </c>
      <c r="H691" t="s">
        <v>314</v>
      </c>
      <c r="I691">
        <v>13803138</v>
      </c>
      <c r="J691">
        <v>9491791</v>
      </c>
      <c r="K691" s="3">
        <v>0.68765500000000002</v>
      </c>
      <c r="L691">
        <v>9102810</v>
      </c>
      <c r="M691" s="3">
        <v>0.659474</v>
      </c>
      <c r="N691">
        <v>4700328</v>
      </c>
      <c r="O691" s="3">
        <v>0.340526</v>
      </c>
      <c r="P691">
        <v>156531</v>
      </c>
      <c r="Q691" s="3">
        <v>1.13402E-2</v>
      </c>
      <c r="R691">
        <v>0</v>
      </c>
      <c r="S691" s="3">
        <v>0</v>
      </c>
    </row>
    <row r="692" spans="1:19" x14ac:dyDescent="0.3">
      <c r="A692" t="s">
        <v>515</v>
      </c>
      <c r="B692" t="s">
        <v>236</v>
      </c>
      <c r="C692" t="s">
        <v>140</v>
      </c>
      <c r="D692" s="1" t="s">
        <v>475</v>
      </c>
      <c r="F692" t="s">
        <v>386</v>
      </c>
      <c r="H692" t="s">
        <v>314</v>
      </c>
      <c r="I692">
        <v>39208180</v>
      </c>
      <c r="J692">
        <v>27030771</v>
      </c>
      <c r="K692" s="3">
        <v>0.68941699999999995</v>
      </c>
      <c r="L692">
        <v>25720672</v>
      </c>
      <c r="M692" s="3">
        <v>0.656003</v>
      </c>
      <c r="N692">
        <v>13487508</v>
      </c>
      <c r="O692" s="3">
        <v>0.343997</v>
      </c>
      <c r="P692">
        <v>314045</v>
      </c>
      <c r="Q692" s="3">
        <v>8.0096799999999999E-3</v>
      </c>
      <c r="R692">
        <v>0</v>
      </c>
      <c r="S692" s="3">
        <v>0</v>
      </c>
    </row>
    <row r="693" spans="1:19" x14ac:dyDescent="0.3">
      <c r="A693" t="s">
        <v>515</v>
      </c>
      <c r="B693" t="s">
        <v>236</v>
      </c>
      <c r="C693" t="s">
        <v>140</v>
      </c>
      <c r="D693" s="1" t="s">
        <v>475</v>
      </c>
      <c r="F693" t="s">
        <v>411</v>
      </c>
      <c r="H693" t="s">
        <v>314</v>
      </c>
      <c r="I693">
        <v>36429960</v>
      </c>
      <c r="J693">
        <v>25147526</v>
      </c>
      <c r="K693" s="3">
        <v>0.69029799999999997</v>
      </c>
      <c r="L693">
        <v>23848782</v>
      </c>
      <c r="M693" s="3">
        <v>0.65464699999999998</v>
      </c>
      <c r="N693">
        <v>12581178</v>
      </c>
      <c r="O693" s="3">
        <v>0.34535300000000002</v>
      </c>
      <c r="P693">
        <v>281371</v>
      </c>
      <c r="Q693" s="3">
        <v>7.7236199999999996E-3</v>
      </c>
      <c r="R693">
        <v>0</v>
      </c>
      <c r="S693" s="3">
        <v>0</v>
      </c>
    </row>
    <row r="694" spans="1:19" x14ac:dyDescent="0.3">
      <c r="A694" t="s">
        <v>515</v>
      </c>
      <c r="B694" t="s">
        <v>236</v>
      </c>
      <c r="C694" t="s">
        <v>140</v>
      </c>
      <c r="D694" s="1" t="s">
        <v>475</v>
      </c>
      <c r="F694" t="s">
        <v>418</v>
      </c>
      <c r="H694" t="s">
        <v>314</v>
      </c>
      <c r="I694">
        <v>39472784</v>
      </c>
      <c r="J694">
        <v>27281723</v>
      </c>
      <c r="K694" s="3">
        <v>0.69115300000000002</v>
      </c>
      <c r="L694">
        <v>25852143</v>
      </c>
      <c r="M694" s="3">
        <v>0.65493599999999996</v>
      </c>
      <c r="N694">
        <v>13620641</v>
      </c>
      <c r="O694" s="3">
        <v>0.34506399999999998</v>
      </c>
      <c r="P694">
        <v>293275</v>
      </c>
      <c r="Q694" s="3">
        <v>7.4298000000000003E-3</v>
      </c>
      <c r="R694">
        <v>0</v>
      </c>
      <c r="S694" s="3">
        <v>0</v>
      </c>
    </row>
    <row r="695" spans="1:19" x14ac:dyDescent="0.3">
      <c r="A695" t="s">
        <v>515</v>
      </c>
      <c r="B695" t="s">
        <v>236</v>
      </c>
      <c r="C695" t="s">
        <v>140</v>
      </c>
      <c r="D695" s="1" t="s">
        <v>475</v>
      </c>
      <c r="F695" t="s">
        <v>466</v>
      </c>
      <c r="H695" t="s">
        <v>314</v>
      </c>
      <c r="I695">
        <v>17798246</v>
      </c>
      <c r="J695">
        <v>12317102</v>
      </c>
      <c r="K695" s="3">
        <v>0.69203999999999999</v>
      </c>
      <c r="L695">
        <v>11886708</v>
      </c>
      <c r="M695" s="3">
        <v>0.66785799999999995</v>
      </c>
      <c r="N695">
        <v>5911538</v>
      </c>
      <c r="O695" s="3">
        <v>0.33214199999999999</v>
      </c>
      <c r="P695">
        <v>269753</v>
      </c>
      <c r="Q695" s="3">
        <v>1.51562E-2</v>
      </c>
      <c r="R695">
        <v>0</v>
      </c>
      <c r="S695" s="3">
        <v>0</v>
      </c>
    </row>
    <row r="696" spans="1:19" x14ac:dyDescent="0.3">
      <c r="A696" t="s">
        <v>515</v>
      </c>
      <c r="B696" t="s">
        <v>236</v>
      </c>
      <c r="C696" t="s">
        <v>140</v>
      </c>
      <c r="D696" s="1" t="s">
        <v>475</v>
      </c>
      <c r="F696" t="s">
        <v>464</v>
      </c>
      <c r="H696" t="s">
        <v>314</v>
      </c>
      <c r="I696">
        <v>15987722</v>
      </c>
      <c r="J696">
        <v>11068733</v>
      </c>
      <c r="K696" s="3">
        <v>0.69232700000000003</v>
      </c>
      <c r="L696">
        <v>10365283</v>
      </c>
      <c r="M696" s="3">
        <v>0.64832800000000002</v>
      </c>
      <c r="N696">
        <v>5622439</v>
      </c>
      <c r="O696" s="3">
        <v>0.35167199999999998</v>
      </c>
      <c r="P696">
        <v>131844</v>
      </c>
      <c r="Q696" s="3">
        <v>8.2465799999999999E-3</v>
      </c>
      <c r="R696">
        <v>0</v>
      </c>
      <c r="S696" s="3">
        <v>0</v>
      </c>
    </row>
    <row r="697" spans="1:19" x14ac:dyDescent="0.3">
      <c r="A697" t="s">
        <v>515</v>
      </c>
      <c r="B697" t="s">
        <v>236</v>
      </c>
      <c r="C697" t="s">
        <v>140</v>
      </c>
      <c r="D697" s="1" t="s">
        <v>475</v>
      </c>
      <c r="F697" t="s">
        <v>401</v>
      </c>
      <c r="H697" t="s">
        <v>314</v>
      </c>
      <c r="I697">
        <v>35025343</v>
      </c>
      <c r="J697">
        <v>24364070</v>
      </c>
      <c r="K697" s="3">
        <v>0.69561300000000004</v>
      </c>
      <c r="L697">
        <v>22844737</v>
      </c>
      <c r="M697" s="3">
        <v>0.65223399999999998</v>
      </c>
      <c r="N697">
        <v>12180606</v>
      </c>
      <c r="O697" s="3">
        <v>0.34776600000000002</v>
      </c>
      <c r="P697">
        <v>232137</v>
      </c>
      <c r="Q697" s="3">
        <v>6.6276900000000003E-3</v>
      </c>
      <c r="R697">
        <v>0</v>
      </c>
      <c r="S697" s="3">
        <v>0</v>
      </c>
    </row>
    <row r="698" spans="1:19" x14ac:dyDescent="0.3">
      <c r="A698" t="s">
        <v>515</v>
      </c>
      <c r="B698" t="s">
        <v>236</v>
      </c>
      <c r="C698" t="s">
        <v>140</v>
      </c>
      <c r="D698" s="1" t="s">
        <v>475</v>
      </c>
      <c r="F698" t="s">
        <v>408</v>
      </c>
      <c r="H698" t="s">
        <v>314</v>
      </c>
      <c r="I698">
        <v>38658052</v>
      </c>
      <c r="J698">
        <v>26918430</v>
      </c>
      <c r="K698" s="3">
        <v>0.69632099999999997</v>
      </c>
      <c r="L698">
        <v>25222680</v>
      </c>
      <c r="M698" s="3">
        <v>0.65245600000000004</v>
      </c>
      <c r="N698">
        <v>13435372</v>
      </c>
      <c r="O698" s="3">
        <v>0.34754400000000002</v>
      </c>
      <c r="P698">
        <v>297965</v>
      </c>
      <c r="Q698" s="3">
        <v>7.7077100000000004E-3</v>
      </c>
      <c r="R698">
        <v>0</v>
      </c>
      <c r="S698" s="3">
        <v>0</v>
      </c>
    </row>
    <row r="699" spans="1:19" x14ac:dyDescent="0.3">
      <c r="A699" t="s">
        <v>515</v>
      </c>
      <c r="B699" t="s">
        <v>236</v>
      </c>
      <c r="C699" t="s">
        <v>140</v>
      </c>
      <c r="D699" s="1" t="s">
        <v>475</v>
      </c>
      <c r="F699" t="s">
        <v>421</v>
      </c>
      <c r="H699" t="s">
        <v>314</v>
      </c>
      <c r="I699">
        <v>34785197</v>
      </c>
      <c r="J699">
        <v>24244683</v>
      </c>
      <c r="K699" s="3">
        <v>0.69698300000000002</v>
      </c>
      <c r="L699">
        <v>22671785</v>
      </c>
      <c r="M699" s="3">
        <v>0.65176500000000004</v>
      </c>
      <c r="N699">
        <v>12113412</v>
      </c>
      <c r="O699" s="3">
        <v>0.34823500000000002</v>
      </c>
      <c r="P699">
        <v>241601</v>
      </c>
      <c r="Q699" s="3">
        <v>6.9455100000000002E-3</v>
      </c>
      <c r="R699">
        <v>0</v>
      </c>
      <c r="S699" s="3">
        <v>0</v>
      </c>
    </row>
    <row r="700" spans="1:19" x14ac:dyDescent="0.3">
      <c r="A700" t="s">
        <v>515</v>
      </c>
      <c r="B700" t="s">
        <v>236</v>
      </c>
      <c r="C700" t="s">
        <v>140</v>
      </c>
      <c r="D700" s="1" t="s">
        <v>475</v>
      </c>
      <c r="F700" t="s">
        <v>388</v>
      </c>
      <c r="H700" t="s">
        <v>314</v>
      </c>
      <c r="I700">
        <v>34184234</v>
      </c>
      <c r="J700">
        <v>23941604</v>
      </c>
      <c r="K700" s="3">
        <v>0.70037000000000005</v>
      </c>
      <c r="L700">
        <v>22235104</v>
      </c>
      <c r="M700" s="3">
        <v>0.65044900000000005</v>
      </c>
      <c r="N700">
        <v>11949130</v>
      </c>
      <c r="O700" s="3">
        <v>0.349551</v>
      </c>
      <c r="P700">
        <v>223429</v>
      </c>
      <c r="Q700" s="3">
        <v>6.53602E-3</v>
      </c>
      <c r="R700">
        <v>0</v>
      </c>
      <c r="S700" s="3">
        <v>0</v>
      </c>
    </row>
    <row r="701" spans="1:19" x14ac:dyDescent="0.3">
      <c r="A701" t="s">
        <v>515</v>
      </c>
      <c r="B701" t="s">
        <v>236</v>
      </c>
      <c r="C701" t="s">
        <v>140</v>
      </c>
      <c r="D701" s="1" t="s">
        <v>475</v>
      </c>
      <c r="F701" t="s">
        <v>389</v>
      </c>
      <c r="H701" t="s">
        <v>314</v>
      </c>
      <c r="I701">
        <v>40876689</v>
      </c>
      <c r="J701">
        <v>28642871</v>
      </c>
      <c r="K701" s="3">
        <v>0.70071399999999995</v>
      </c>
      <c r="L701">
        <v>26554216</v>
      </c>
      <c r="M701" s="3">
        <v>0.64961800000000003</v>
      </c>
      <c r="N701">
        <v>14322473</v>
      </c>
      <c r="O701" s="3">
        <v>0.35038200000000003</v>
      </c>
      <c r="P701">
        <v>275418</v>
      </c>
      <c r="Q701" s="3">
        <v>6.7377799999999996E-3</v>
      </c>
      <c r="R701">
        <v>0</v>
      </c>
      <c r="S701" s="3">
        <v>0</v>
      </c>
    </row>
    <row r="702" spans="1:19" x14ac:dyDescent="0.3">
      <c r="A702" t="s">
        <v>515</v>
      </c>
      <c r="B702" t="s">
        <v>236</v>
      </c>
      <c r="C702" t="s">
        <v>140</v>
      </c>
      <c r="D702" s="1" t="s">
        <v>475</v>
      </c>
      <c r="F702" t="s">
        <v>409</v>
      </c>
      <c r="H702" t="s">
        <v>314</v>
      </c>
      <c r="I702">
        <v>39172493</v>
      </c>
      <c r="J702">
        <v>27453901</v>
      </c>
      <c r="K702" s="3">
        <v>0.70084599999999997</v>
      </c>
      <c r="L702">
        <v>25447515</v>
      </c>
      <c r="M702" s="3">
        <v>0.64962699999999995</v>
      </c>
      <c r="N702">
        <v>13724978</v>
      </c>
      <c r="O702" s="3">
        <v>0.35037299999999999</v>
      </c>
      <c r="P702">
        <v>264500</v>
      </c>
      <c r="Q702" s="3">
        <v>6.7521899999999999E-3</v>
      </c>
      <c r="R702">
        <v>0</v>
      </c>
      <c r="S702" s="3">
        <v>0</v>
      </c>
    </row>
    <row r="703" spans="1:19" x14ac:dyDescent="0.3">
      <c r="A703" t="s">
        <v>515</v>
      </c>
      <c r="B703" t="s">
        <v>236</v>
      </c>
      <c r="C703" t="s">
        <v>140</v>
      </c>
      <c r="D703" s="1" t="s">
        <v>475</v>
      </c>
      <c r="F703" t="s">
        <v>450</v>
      </c>
      <c r="H703" t="s">
        <v>314</v>
      </c>
      <c r="I703">
        <v>22795715</v>
      </c>
      <c r="J703">
        <v>16040388</v>
      </c>
      <c r="K703" s="3">
        <v>0.70365800000000001</v>
      </c>
      <c r="L703">
        <v>14592725</v>
      </c>
      <c r="M703" s="3">
        <v>0.64015200000000005</v>
      </c>
      <c r="N703">
        <v>8202990</v>
      </c>
      <c r="O703" s="3">
        <v>0.359848</v>
      </c>
      <c r="P703">
        <v>155741</v>
      </c>
      <c r="Q703" s="3">
        <v>6.8320300000000002E-3</v>
      </c>
      <c r="R703">
        <v>0</v>
      </c>
      <c r="S703" s="3">
        <v>0</v>
      </c>
    </row>
    <row r="704" spans="1:19" x14ac:dyDescent="0.3">
      <c r="A704" t="s">
        <v>515</v>
      </c>
      <c r="B704" t="s">
        <v>236</v>
      </c>
      <c r="C704" t="s">
        <v>140</v>
      </c>
      <c r="D704" s="1" t="s">
        <v>475</v>
      </c>
      <c r="F704" t="s">
        <v>425</v>
      </c>
      <c r="H704" t="s">
        <v>314</v>
      </c>
      <c r="I704">
        <v>42476550</v>
      </c>
      <c r="J704">
        <v>30031817</v>
      </c>
      <c r="K704" s="3">
        <v>0.70702100000000001</v>
      </c>
      <c r="L704">
        <v>27465411</v>
      </c>
      <c r="M704" s="3">
        <v>0.64660200000000001</v>
      </c>
      <c r="N704">
        <v>15011139</v>
      </c>
      <c r="O704" s="3">
        <v>0.35339799999999999</v>
      </c>
      <c r="P704">
        <v>283719</v>
      </c>
      <c r="Q704" s="3">
        <v>6.6794300000000001E-3</v>
      </c>
      <c r="R704">
        <v>0</v>
      </c>
      <c r="S704" s="3">
        <v>0</v>
      </c>
    </row>
    <row r="705" spans="1:19" x14ac:dyDescent="0.3">
      <c r="A705" t="s">
        <v>515</v>
      </c>
      <c r="B705" t="s">
        <v>236</v>
      </c>
      <c r="C705" t="s">
        <v>140</v>
      </c>
      <c r="D705" s="1" t="s">
        <v>475</v>
      </c>
      <c r="F705" t="s">
        <v>456</v>
      </c>
      <c r="H705" t="s">
        <v>314</v>
      </c>
      <c r="I705">
        <v>24183518</v>
      </c>
      <c r="J705">
        <v>17111673</v>
      </c>
      <c r="K705" s="3">
        <v>0.70757599999999998</v>
      </c>
      <c r="L705">
        <v>15524111</v>
      </c>
      <c r="M705" s="3">
        <v>0.64192899999999997</v>
      </c>
      <c r="N705">
        <v>8659407</v>
      </c>
      <c r="O705" s="3">
        <v>0.35807099999999997</v>
      </c>
      <c r="P705">
        <v>188403</v>
      </c>
      <c r="Q705" s="3">
        <v>7.7905500000000003E-3</v>
      </c>
      <c r="R705">
        <v>0</v>
      </c>
      <c r="S705" s="3">
        <v>0</v>
      </c>
    </row>
    <row r="706" spans="1:19" x14ac:dyDescent="0.3">
      <c r="A706" t="s">
        <v>515</v>
      </c>
      <c r="B706" t="s">
        <v>236</v>
      </c>
      <c r="C706" t="s">
        <v>140</v>
      </c>
      <c r="D706" s="1" t="s">
        <v>475</v>
      </c>
      <c r="F706" t="s">
        <v>394</v>
      </c>
      <c r="H706" t="s">
        <v>314</v>
      </c>
      <c r="I706">
        <v>39554426</v>
      </c>
      <c r="J706">
        <v>27997346</v>
      </c>
      <c r="K706" s="3">
        <v>0.70781799999999995</v>
      </c>
      <c r="L706">
        <v>25550535</v>
      </c>
      <c r="M706" s="3">
        <v>0.64595899999999995</v>
      </c>
      <c r="N706">
        <v>14003891</v>
      </c>
      <c r="O706" s="3">
        <v>0.35404099999999999</v>
      </c>
      <c r="P706">
        <v>288628</v>
      </c>
      <c r="Q706" s="3">
        <v>7.2969799999999998E-3</v>
      </c>
      <c r="R706">
        <v>0</v>
      </c>
      <c r="S706" s="3">
        <v>0</v>
      </c>
    </row>
    <row r="707" spans="1:19" x14ac:dyDescent="0.3">
      <c r="A707" t="s">
        <v>515</v>
      </c>
      <c r="B707" t="s">
        <v>236</v>
      </c>
      <c r="C707" t="s">
        <v>140</v>
      </c>
      <c r="D707" s="1" t="s">
        <v>475</v>
      </c>
      <c r="F707" t="s">
        <v>381</v>
      </c>
      <c r="H707" t="s">
        <v>314</v>
      </c>
      <c r="I707">
        <v>32152597</v>
      </c>
      <c r="J707">
        <v>22886705</v>
      </c>
      <c r="K707" s="3">
        <v>0.71181499999999998</v>
      </c>
      <c r="L707">
        <v>21772271</v>
      </c>
      <c r="M707" s="3">
        <v>0.67715400000000003</v>
      </c>
      <c r="N707">
        <v>10380326</v>
      </c>
      <c r="O707" s="3">
        <v>0.32284600000000002</v>
      </c>
      <c r="P707">
        <v>253216</v>
      </c>
      <c r="Q707" s="3">
        <v>7.8754500000000009E-3</v>
      </c>
      <c r="R707">
        <v>0</v>
      </c>
      <c r="S707" s="3">
        <v>0</v>
      </c>
    </row>
    <row r="708" spans="1:19" x14ac:dyDescent="0.3">
      <c r="A708" t="s">
        <v>515</v>
      </c>
      <c r="B708" t="s">
        <v>236</v>
      </c>
      <c r="C708" t="s">
        <v>140</v>
      </c>
      <c r="D708" s="1" t="s">
        <v>475</v>
      </c>
      <c r="F708" t="s">
        <v>414</v>
      </c>
      <c r="H708" t="s">
        <v>314</v>
      </c>
      <c r="I708">
        <v>39358649</v>
      </c>
      <c r="J708">
        <v>28105158</v>
      </c>
      <c r="K708" s="3">
        <v>0.71407799999999999</v>
      </c>
      <c r="L708">
        <v>25337084</v>
      </c>
      <c r="M708" s="3">
        <v>0.64374900000000002</v>
      </c>
      <c r="N708">
        <v>14021565</v>
      </c>
      <c r="O708" s="3">
        <v>0.35625099999999998</v>
      </c>
      <c r="P708">
        <v>270298</v>
      </c>
      <c r="Q708" s="3">
        <v>6.86756E-3</v>
      </c>
      <c r="R708">
        <v>0</v>
      </c>
      <c r="S708" s="3">
        <v>0</v>
      </c>
    </row>
    <row r="709" spans="1:19" x14ac:dyDescent="0.3">
      <c r="A709" t="s">
        <v>515</v>
      </c>
      <c r="B709" t="s">
        <v>236</v>
      </c>
      <c r="C709" t="s">
        <v>140</v>
      </c>
      <c r="D709" s="1" t="s">
        <v>475</v>
      </c>
      <c r="F709" t="s">
        <v>399</v>
      </c>
      <c r="H709" t="s">
        <v>314</v>
      </c>
      <c r="I709">
        <v>36918492</v>
      </c>
      <c r="J709">
        <v>26637611</v>
      </c>
      <c r="K709" s="3">
        <v>0.72152499999999997</v>
      </c>
      <c r="L709">
        <v>23616114</v>
      </c>
      <c r="M709" s="3">
        <v>0.639683</v>
      </c>
      <c r="N709">
        <v>13302378</v>
      </c>
      <c r="O709" s="3">
        <v>0.360317</v>
      </c>
      <c r="P709">
        <v>260778</v>
      </c>
      <c r="Q709" s="3">
        <v>7.0636099999999997E-3</v>
      </c>
      <c r="R709">
        <v>0</v>
      </c>
      <c r="S709" s="3">
        <v>0</v>
      </c>
    </row>
    <row r="710" spans="1:19" x14ac:dyDescent="0.3">
      <c r="A710" t="s">
        <v>515</v>
      </c>
      <c r="B710" t="s">
        <v>236</v>
      </c>
      <c r="C710" t="s">
        <v>140</v>
      </c>
      <c r="D710" s="1" t="s">
        <v>475</v>
      </c>
      <c r="F710" t="s">
        <v>383</v>
      </c>
      <c r="H710" t="s">
        <v>314</v>
      </c>
      <c r="I710">
        <v>31702350</v>
      </c>
      <c r="J710">
        <v>22896904</v>
      </c>
      <c r="K710" s="3">
        <v>0.72224600000000005</v>
      </c>
      <c r="L710">
        <v>21236779</v>
      </c>
      <c r="M710" s="3">
        <v>0.66988000000000003</v>
      </c>
      <c r="N710">
        <v>10465571</v>
      </c>
      <c r="O710" s="3">
        <v>0.33012000000000002</v>
      </c>
      <c r="P710">
        <v>235844</v>
      </c>
      <c r="Q710" s="3">
        <v>7.4393200000000001E-3</v>
      </c>
      <c r="R710">
        <v>0</v>
      </c>
      <c r="S710" s="3">
        <v>0</v>
      </c>
    </row>
    <row r="711" spans="1:19" x14ac:dyDescent="0.3">
      <c r="A711" t="s">
        <v>515</v>
      </c>
      <c r="B711" t="s">
        <v>236</v>
      </c>
      <c r="C711" t="s">
        <v>140</v>
      </c>
      <c r="D711" s="1" t="s">
        <v>475</v>
      </c>
      <c r="F711" t="s">
        <v>385</v>
      </c>
      <c r="H711" t="s">
        <v>314</v>
      </c>
      <c r="I711">
        <v>38847828</v>
      </c>
      <c r="J711">
        <v>28124686</v>
      </c>
      <c r="K711" s="3">
        <v>0.72397100000000003</v>
      </c>
      <c r="L711">
        <v>24796485</v>
      </c>
      <c r="M711" s="3">
        <v>0.63829800000000003</v>
      </c>
      <c r="N711">
        <v>14051343</v>
      </c>
      <c r="O711" s="3">
        <v>0.36170200000000002</v>
      </c>
      <c r="P711">
        <v>275339</v>
      </c>
      <c r="Q711" s="3">
        <v>7.0876300000000001E-3</v>
      </c>
      <c r="R711">
        <v>0</v>
      </c>
      <c r="S711" s="3">
        <v>0</v>
      </c>
    </row>
    <row r="712" spans="1:19" x14ac:dyDescent="0.3">
      <c r="A712" t="s">
        <v>515</v>
      </c>
      <c r="B712" t="s">
        <v>236</v>
      </c>
      <c r="C712" t="s">
        <v>140</v>
      </c>
      <c r="D712" s="1" t="s">
        <v>475</v>
      </c>
      <c r="F712" t="s">
        <v>454</v>
      </c>
      <c r="H712" t="s">
        <v>314</v>
      </c>
      <c r="I712">
        <v>30915835</v>
      </c>
      <c r="J712">
        <v>22412625</v>
      </c>
      <c r="K712" s="3">
        <v>0.72495600000000004</v>
      </c>
      <c r="L712">
        <v>19522660</v>
      </c>
      <c r="M712" s="3">
        <v>0.63147799999999998</v>
      </c>
      <c r="N712">
        <v>11393175</v>
      </c>
      <c r="O712" s="3">
        <v>0.36852200000000002</v>
      </c>
      <c r="P712">
        <v>177495</v>
      </c>
      <c r="Q712" s="3">
        <v>5.7412299999999999E-3</v>
      </c>
      <c r="R712">
        <v>0</v>
      </c>
      <c r="S712" s="3">
        <v>0</v>
      </c>
    </row>
    <row r="713" spans="1:19" x14ac:dyDescent="0.3">
      <c r="A713" t="s">
        <v>515</v>
      </c>
      <c r="B713" t="s">
        <v>236</v>
      </c>
      <c r="C713" t="s">
        <v>140</v>
      </c>
      <c r="D713" s="1" t="s">
        <v>475</v>
      </c>
      <c r="F713" t="s">
        <v>412</v>
      </c>
      <c r="H713" t="s">
        <v>314</v>
      </c>
      <c r="I713">
        <v>40517967</v>
      </c>
      <c r="J713">
        <v>29478470</v>
      </c>
      <c r="K713" s="3">
        <v>0.72754099999999999</v>
      </c>
      <c r="L713">
        <v>25803525</v>
      </c>
      <c r="M713" s="3">
        <v>0.63684200000000002</v>
      </c>
      <c r="N713">
        <v>14714442</v>
      </c>
      <c r="O713" s="3">
        <v>0.36315799999999998</v>
      </c>
      <c r="P713">
        <v>283565</v>
      </c>
      <c r="Q713" s="3">
        <v>6.9985000000000004E-3</v>
      </c>
      <c r="R713">
        <v>0</v>
      </c>
      <c r="S713" s="3">
        <v>0</v>
      </c>
    </row>
    <row r="714" spans="1:19" x14ac:dyDescent="0.3">
      <c r="A714" t="s">
        <v>515</v>
      </c>
      <c r="B714" t="s">
        <v>236</v>
      </c>
      <c r="C714" t="s">
        <v>140</v>
      </c>
      <c r="D714" s="1" t="s">
        <v>475</v>
      </c>
      <c r="F714" t="s">
        <v>427</v>
      </c>
      <c r="H714" t="s">
        <v>314</v>
      </c>
      <c r="I714">
        <v>39494800</v>
      </c>
      <c r="J714">
        <v>28817034</v>
      </c>
      <c r="K714" s="3">
        <v>0.72964099999999998</v>
      </c>
      <c r="L714">
        <v>25116155</v>
      </c>
      <c r="M714" s="3">
        <v>0.63593599999999995</v>
      </c>
      <c r="N714">
        <v>14378645</v>
      </c>
      <c r="O714" s="3">
        <v>0.364064</v>
      </c>
      <c r="P714">
        <v>282081</v>
      </c>
      <c r="Q714" s="3">
        <v>7.1422300000000003E-3</v>
      </c>
      <c r="R714">
        <v>0</v>
      </c>
      <c r="S714" s="3">
        <v>0</v>
      </c>
    </row>
    <row r="715" spans="1:19" x14ac:dyDescent="0.3">
      <c r="A715" t="s">
        <v>515</v>
      </c>
      <c r="B715" t="s">
        <v>236</v>
      </c>
      <c r="C715" t="s">
        <v>140</v>
      </c>
      <c r="D715" s="1" t="s">
        <v>475</v>
      </c>
      <c r="F715" t="s">
        <v>384</v>
      </c>
      <c r="H715" t="s">
        <v>314</v>
      </c>
      <c r="I715">
        <v>30321061</v>
      </c>
      <c r="J715">
        <v>22132268</v>
      </c>
      <c r="K715" s="3">
        <v>0.729931</v>
      </c>
      <c r="L715">
        <v>20117698</v>
      </c>
      <c r="M715" s="3">
        <v>0.663489</v>
      </c>
      <c r="N715">
        <v>10203363</v>
      </c>
      <c r="O715" s="3">
        <v>0.336511</v>
      </c>
      <c r="P715">
        <v>248516</v>
      </c>
      <c r="Q715" s="3">
        <v>8.1961499999999993E-3</v>
      </c>
      <c r="R715">
        <v>0</v>
      </c>
      <c r="S715" s="3">
        <v>0</v>
      </c>
    </row>
    <row r="716" spans="1:19" x14ac:dyDescent="0.3">
      <c r="A716" t="s">
        <v>515</v>
      </c>
      <c r="B716" t="s">
        <v>236</v>
      </c>
      <c r="C716" t="s">
        <v>140</v>
      </c>
      <c r="D716" s="1" t="s">
        <v>475</v>
      </c>
      <c r="F716" t="s">
        <v>382</v>
      </c>
      <c r="H716" t="s">
        <v>314</v>
      </c>
      <c r="I716">
        <v>34001671</v>
      </c>
      <c r="J716">
        <v>25072592</v>
      </c>
      <c r="K716" s="3">
        <v>0.73739299999999997</v>
      </c>
      <c r="L716">
        <v>22457120</v>
      </c>
      <c r="M716" s="3">
        <v>0.66047100000000003</v>
      </c>
      <c r="N716">
        <v>11544551</v>
      </c>
      <c r="O716" s="3">
        <v>0.33952900000000003</v>
      </c>
      <c r="P716">
        <v>307859</v>
      </c>
      <c r="Q716" s="3">
        <v>9.0542299999999999E-3</v>
      </c>
      <c r="R716">
        <v>0</v>
      </c>
      <c r="S716" s="3">
        <v>0</v>
      </c>
    </row>
    <row r="717" spans="1:19" x14ac:dyDescent="0.3">
      <c r="A717" t="s">
        <v>515</v>
      </c>
      <c r="B717" t="s">
        <v>236</v>
      </c>
      <c r="C717" t="s">
        <v>140</v>
      </c>
      <c r="D717" s="1" t="s">
        <v>475</v>
      </c>
      <c r="F717" t="s">
        <v>431</v>
      </c>
      <c r="H717" t="s">
        <v>314</v>
      </c>
      <c r="I717">
        <v>40118991</v>
      </c>
      <c r="J717">
        <v>29602520</v>
      </c>
      <c r="K717" s="3">
        <v>0.73786799999999997</v>
      </c>
      <c r="L717">
        <v>25341331</v>
      </c>
      <c r="M717" s="3">
        <v>0.63165400000000005</v>
      </c>
      <c r="N717">
        <v>14777660</v>
      </c>
      <c r="O717" s="3">
        <v>0.36834600000000001</v>
      </c>
      <c r="P717">
        <v>233760</v>
      </c>
      <c r="Q717" s="3">
        <v>5.8266699999999999E-3</v>
      </c>
      <c r="R717">
        <v>0</v>
      </c>
      <c r="S717" s="3">
        <v>0</v>
      </c>
    </row>
    <row r="718" spans="1:19" x14ac:dyDescent="0.3">
      <c r="A718" t="s">
        <v>515</v>
      </c>
      <c r="B718" t="s">
        <v>236</v>
      </c>
      <c r="C718" t="s">
        <v>140</v>
      </c>
      <c r="D718" s="1" t="s">
        <v>475</v>
      </c>
      <c r="F718" t="s">
        <v>392</v>
      </c>
      <c r="H718" t="s">
        <v>314</v>
      </c>
      <c r="I718">
        <v>36945212</v>
      </c>
      <c r="J718">
        <v>27412725</v>
      </c>
      <c r="K718" s="3">
        <v>0.74198299999999995</v>
      </c>
      <c r="L718">
        <v>23190725</v>
      </c>
      <c r="M718" s="3">
        <v>0.62770599999999999</v>
      </c>
      <c r="N718">
        <v>13754487</v>
      </c>
      <c r="O718" s="3">
        <v>0.37229400000000001</v>
      </c>
      <c r="P718">
        <v>206177</v>
      </c>
      <c r="Q718" s="3">
        <v>5.5806099999999997E-3</v>
      </c>
      <c r="R718">
        <v>0</v>
      </c>
      <c r="S718" s="3">
        <v>0</v>
      </c>
    </row>
    <row r="719" spans="1:19" x14ac:dyDescent="0.3">
      <c r="A719" t="s">
        <v>515</v>
      </c>
      <c r="B719" t="s">
        <v>236</v>
      </c>
      <c r="C719" t="s">
        <v>140</v>
      </c>
      <c r="D719" s="1" t="s">
        <v>475</v>
      </c>
      <c r="F719" t="s">
        <v>387</v>
      </c>
      <c r="H719" t="s">
        <v>314</v>
      </c>
      <c r="I719">
        <v>40552946</v>
      </c>
      <c r="J719">
        <v>31152524</v>
      </c>
      <c r="K719" s="3">
        <v>0.76819400000000004</v>
      </c>
      <c r="L719">
        <v>25022179</v>
      </c>
      <c r="M719" s="3">
        <v>0.61702500000000005</v>
      </c>
      <c r="N719">
        <v>15530767</v>
      </c>
      <c r="O719" s="3">
        <v>0.38297500000000001</v>
      </c>
      <c r="P719">
        <v>231995</v>
      </c>
      <c r="Q719" s="3">
        <v>5.7207899999999999E-3</v>
      </c>
      <c r="R719">
        <v>0</v>
      </c>
      <c r="S719" s="3">
        <v>0</v>
      </c>
    </row>
    <row r="720" spans="1:19" x14ac:dyDescent="0.3">
      <c r="A720" t="s">
        <v>515</v>
      </c>
      <c r="B720" t="s">
        <v>236</v>
      </c>
      <c r="C720" t="s">
        <v>140</v>
      </c>
      <c r="D720" s="1" t="s">
        <v>475</v>
      </c>
      <c r="F720" t="s">
        <v>403</v>
      </c>
      <c r="H720" t="s">
        <v>314</v>
      </c>
      <c r="I720">
        <v>35710097</v>
      </c>
      <c r="J720">
        <v>27448463</v>
      </c>
      <c r="K720" s="3">
        <v>0.76864699999999997</v>
      </c>
      <c r="L720">
        <v>21935907</v>
      </c>
      <c r="M720" s="3">
        <v>0.61427699999999996</v>
      </c>
      <c r="N720">
        <v>13774190</v>
      </c>
      <c r="O720" s="3">
        <v>0.38572299999999998</v>
      </c>
      <c r="P720">
        <v>201439</v>
      </c>
      <c r="Q720" s="3">
        <v>5.6409499999999996E-3</v>
      </c>
      <c r="R720">
        <v>0</v>
      </c>
      <c r="S720" s="3">
        <v>0</v>
      </c>
    </row>
    <row r="721" spans="1:19" x14ac:dyDescent="0.3">
      <c r="A721" t="s">
        <v>515</v>
      </c>
      <c r="B721" t="s">
        <v>236</v>
      </c>
      <c r="C721" t="s">
        <v>140</v>
      </c>
      <c r="D721" s="1" t="s">
        <v>475</v>
      </c>
      <c r="F721" t="s">
        <v>410</v>
      </c>
      <c r="H721" t="s">
        <v>314</v>
      </c>
      <c r="S721" s="3"/>
    </row>
    <row r="722" spans="1:19" x14ac:dyDescent="0.3">
      <c r="A722" t="s">
        <v>515</v>
      </c>
      <c r="B722" t="s">
        <v>236</v>
      </c>
      <c r="C722" t="s">
        <v>140</v>
      </c>
      <c r="D722" s="1" t="s">
        <v>475</v>
      </c>
      <c r="F722" t="s">
        <v>413</v>
      </c>
      <c r="H722" t="s">
        <v>314</v>
      </c>
      <c r="S722" s="3"/>
    </row>
    <row r="723" spans="1:19" x14ac:dyDescent="0.3">
      <c r="A723" t="s">
        <v>515</v>
      </c>
      <c r="B723" t="s">
        <v>236</v>
      </c>
      <c r="C723" t="s">
        <v>140</v>
      </c>
      <c r="D723" s="1" t="s">
        <v>475</v>
      </c>
      <c r="F723" t="s">
        <v>415</v>
      </c>
      <c r="H723" t="s">
        <v>314</v>
      </c>
      <c r="S723" s="3"/>
    </row>
    <row r="724" spans="1:19" x14ac:dyDescent="0.3">
      <c r="A724" t="s">
        <v>515</v>
      </c>
      <c r="B724" t="s">
        <v>236</v>
      </c>
      <c r="C724" t="s">
        <v>140</v>
      </c>
      <c r="D724" s="1" t="s">
        <v>475</v>
      </c>
      <c r="F724" t="s">
        <v>416</v>
      </c>
      <c r="H724" t="s">
        <v>314</v>
      </c>
      <c r="S724" s="3"/>
    </row>
    <row r="725" spans="1:19" x14ac:dyDescent="0.3">
      <c r="A725" t="s">
        <v>515</v>
      </c>
      <c r="B725" t="s">
        <v>236</v>
      </c>
      <c r="C725" t="s">
        <v>140</v>
      </c>
      <c r="D725" s="1" t="s">
        <v>475</v>
      </c>
      <c r="F725" t="s">
        <v>419</v>
      </c>
      <c r="H725" t="s">
        <v>314</v>
      </c>
      <c r="S725" s="3"/>
    </row>
    <row r="726" spans="1:19" x14ac:dyDescent="0.3">
      <c r="A726" t="s">
        <v>515</v>
      </c>
      <c r="B726" t="s">
        <v>236</v>
      </c>
      <c r="C726" t="s">
        <v>140</v>
      </c>
      <c r="D726" s="1" t="s">
        <v>475</v>
      </c>
      <c r="F726" t="s">
        <v>422</v>
      </c>
      <c r="H726" t="s">
        <v>314</v>
      </c>
      <c r="K726" s="3"/>
      <c r="Q726" s="3">
        <v>6.9455100000000002E-3</v>
      </c>
      <c r="R726">
        <v>0</v>
      </c>
      <c r="S726" s="3">
        <v>0</v>
      </c>
    </row>
    <row r="727" spans="1:19" x14ac:dyDescent="0.3">
      <c r="A727" t="s">
        <v>515</v>
      </c>
      <c r="B727" t="s">
        <v>236</v>
      </c>
      <c r="C727" t="s">
        <v>140</v>
      </c>
      <c r="D727" s="1" t="s">
        <v>475</v>
      </c>
      <c r="F727" t="s">
        <v>426</v>
      </c>
      <c r="H727" t="s">
        <v>314</v>
      </c>
      <c r="S727" s="3"/>
    </row>
    <row r="728" spans="1:19" x14ac:dyDescent="0.3">
      <c r="A728" t="s">
        <v>515</v>
      </c>
      <c r="B728" t="s">
        <v>236</v>
      </c>
      <c r="C728" t="s">
        <v>140</v>
      </c>
      <c r="D728" s="1" t="s">
        <v>475</v>
      </c>
      <c r="F728" t="s">
        <v>428</v>
      </c>
      <c r="H728" t="s">
        <v>314</v>
      </c>
      <c r="S728" s="3"/>
    </row>
    <row r="729" spans="1:19" x14ac:dyDescent="0.3">
      <c r="A729" t="s">
        <v>515</v>
      </c>
      <c r="B729" t="s">
        <v>236</v>
      </c>
      <c r="C729" t="s">
        <v>140</v>
      </c>
      <c r="D729" s="1" t="s">
        <v>475</v>
      </c>
      <c r="F729" t="s">
        <v>429</v>
      </c>
      <c r="H729" t="s">
        <v>314</v>
      </c>
      <c r="S729" s="3"/>
    </row>
    <row r="730" spans="1:19" x14ac:dyDescent="0.3">
      <c r="A730" t="s">
        <v>515</v>
      </c>
      <c r="B730" t="s">
        <v>236</v>
      </c>
      <c r="C730" t="s">
        <v>140</v>
      </c>
      <c r="D730" s="1" t="s">
        <v>475</v>
      </c>
      <c r="F730" t="s">
        <v>433</v>
      </c>
      <c r="H730" t="s">
        <v>314</v>
      </c>
      <c r="S730" s="3"/>
    </row>
    <row r="731" spans="1:19" x14ac:dyDescent="0.3">
      <c r="A731" t="s">
        <v>515</v>
      </c>
      <c r="B731" t="s">
        <v>236</v>
      </c>
      <c r="C731" t="s">
        <v>140</v>
      </c>
      <c r="D731" s="1" t="s">
        <v>475</v>
      </c>
      <c r="F731" t="s">
        <v>435</v>
      </c>
      <c r="H731" t="s">
        <v>314</v>
      </c>
      <c r="K731" s="3"/>
      <c r="M731" s="3"/>
      <c r="O731" s="3"/>
      <c r="Q731" s="3"/>
      <c r="S731" s="3"/>
    </row>
    <row r="732" spans="1:19" x14ac:dyDescent="0.3">
      <c r="A732" t="s">
        <v>515</v>
      </c>
      <c r="B732" t="s">
        <v>236</v>
      </c>
      <c r="C732" t="s">
        <v>140</v>
      </c>
      <c r="D732" s="1" t="s">
        <v>475</v>
      </c>
      <c r="F732" t="s">
        <v>457</v>
      </c>
      <c r="H732" t="s">
        <v>314</v>
      </c>
      <c r="S732" s="3"/>
    </row>
    <row r="733" spans="1:19" x14ac:dyDescent="0.3">
      <c r="A733" t="s">
        <v>515</v>
      </c>
      <c r="B733" t="s">
        <v>236</v>
      </c>
      <c r="C733" t="s">
        <v>140</v>
      </c>
      <c r="D733" s="1" t="s">
        <v>475</v>
      </c>
      <c r="F733" t="s">
        <v>458</v>
      </c>
      <c r="H733" t="s">
        <v>314</v>
      </c>
      <c r="S733" s="3"/>
    </row>
    <row r="734" spans="1:19" x14ac:dyDescent="0.3">
      <c r="A734" t="s">
        <v>515</v>
      </c>
      <c r="B734" t="s">
        <v>236</v>
      </c>
      <c r="C734" t="s">
        <v>140</v>
      </c>
      <c r="D734" s="1" t="s">
        <v>475</v>
      </c>
      <c r="F734" t="s">
        <v>459</v>
      </c>
      <c r="H734" t="s">
        <v>314</v>
      </c>
      <c r="S734" s="3"/>
    </row>
    <row r="735" spans="1:19" x14ac:dyDescent="0.3">
      <c r="A735" t="s">
        <v>515</v>
      </c>
      <c r="B735" t="s">
        <v>236</v>
      </c>
      <c r="C735" t="s">
        <v>140</v>
      </c>
      <c r="D735" s="1" t="s">
        <v>475</v>
      </c>
      <c r="F735" t="s">
        <v>461</v>
      </c>
      <c r="H735" t="s">
        <v>314</v>
      </c>
      <c r="S735" s="3"/>
    </row>
    <row r="736" spans="1:19" x14ac:dyDescent="0.3">
      <c r="A736" t="s">
        <v>515</v>
      </c>
      <c r="B736" t="s">
        <v>236</v>
      </c>
      <c r="C736" t="s">
        <v>140</v>
      </c>
      <c r="D736" s="1" t="s">
        <v>475</v>
      </c>
      <c r="F736" t="s">
        <v>472</v>
      </c>
      <c r="H736" t="s">
        <v>314</v>
      </c>
      <c r="S736" s="3"/>
    </row>
    <row r="737" spans="1:19" x14ac:dyDescent="0.3">
      <c r="A737" t="s">
        <v>514</v>
      </c>
      <c r="B737" t="s">
        <v>253</v>
      </c>
      <c r="C737" t="s">
        <v>140</v>
      </c>
      <c r="D737" s="1" t="s">
        <v>501</v>
      </c>
      <c r="F737" t="s">
        <v>507</v>
      </c>
      <c r="H737" t="s">
        <v>314</v>
      </c>
      <c r="I737">
        <v>23931343</v>
      </c>
      <c r="J737">
        <v>23186380</v>
      </c>
      <c r="K737" s="3">
        <v>0.96887100000000004</v>
      </c>
      <c r="L737">
        <v>12272363</v>
      </c>
      <c r="M737" s="3">
        <v>0.51281500000000002</v>
      </c>
      <c r="N737">
        <v>11658980</v>
      </c>
      <c r="O737" s="3">
        <v>0.48718400000000001</v>
      </c>
      <c r="P737">
        <v>0</v>
      </c>
      <c r="Q737" s="3">
        <v>0</v>
      </c>
      <c r="R737">
        <v>0</v>
      </c>
      <c r="S737" s="3">
        <v>0</v>
      </c>
    </row>
    <row r="738" spans="1:19" x14ac:dyDescent="0.3">
      <c r="A738" t="s">
        <v>514</v>
      </c>
      <c r="B738" t="s">
        <v>253</v>
      </c>
      <c r="C738" t="s">
        <v>140</v>
      </c>
      <c r="D738" s="1" t="s">
        <v>501</v>
      </c>
      <c r="F738" t="s">
        <v>503</v>
      </c>
      <c r="H738" t="s">
        <v>314</v>
      </c>
      <c r="I738">
        <v>29532687</v>
      </c>
      <c r="J738">
        <v>28767384</v>
      </c>
      <c r="K738" s="3">
        <v>0.97408600000000001</v>
      </c>
      <c r="L738">
        <v>15073978</v>
      </c>
      <c r="M738" s="3">
        <v>0.51041700000000001</v>
      </c>
      <c r="N738">
        <v>14458709</v>
      </c>
      <c r="O738" s="3">
        <v>0.48958299999999999</v>
      </c>
      <c r="P738">
        <v>0</v>
      </c>
      <c r="Q738" s="3">
        <v>0</v>
      </c>
      <c r="R738">
        <v>0</v>
      </c>
      <c r="S738" s="3">
        <v>0</v>
      </c>
    </row>
    <row r="739" spans="1:19" x14ac:dyDescent="0.3">
      <c r="A739" t="s">
        <v>514</v>
      </c>
      <c r="B739" t="s">
        <v>253</v>
      </c>
      <c r="C739" t="s">
        <v>140</v>
      </c>
      <c r="D739" s="1" t="s">
        <v>501</v>
      </c>
      <c r="F739" t="s">
        <v>509</v>
      </c>
      <c r="H739" t="s">
        <v>314</v>
      </c>
      <c r="I739">
        <v>22777907</v>
      </c>
      <c r="J739">
        <v>22204040</v>
      </c>
      <c r="K739" s="3">
        <v>0.97480599999999995</v>
      </c>
      <c r="L739">
        <v>11635504</v>
      </c>
      <c r="M739" s="3">
        <v>0.51082399999999994</v>
      </c>
      <c r="N739">
        <v>11142403</v>
      </c>
      <c r="O739" s="3">
        <v>0.489176</v>
      </c>
      <c r="P739">
        <v>0</v>
      </c>
      <c r="Q739" s="3">
        <v>0</v>
      </c>
      <c r="R739">
        <v>0</v>
      </c>
      <c r="S739" s="3">
        <v>0</v>
      </c>
    </row>
    <row r="740" spans="1:19" x14ac:dyDescent="0.3">
      <c r="A740" t="s">
        <v>514</v>
      </c>
      <c r="B740" t="s">
        <v>253</v>
      </c>
      <c r="C740" t="s">
        <v>140</v>
      </c>
      <c r="D740" s="1" t="s">
        <v>501</v>
      </c>
      <c r="F740" t="s">
        <v>502</v>
      </c>
      <c r="H740" t="s">
        <v>314</v>
      </c>
      <c r="I740">
        <v>24616639</v>
      </c>
      <c r="J740">
        <v>24027610</v>
      </c>
      <c r="K740" s="3">
        <v>0.97607200000000005</v>
      </c>
      <c r="L740">
        <v>12542841</v>
      </c>
      <c r="M740" s="3">
        <v>0.50952699999999995</v>
      </c>
      <c r="N740">
        <v>12073798</v>
      </c>
      <c r="O740" s="3">
        <v>0.49047299999999999</v>
      </c>
      <c r="P740">
        <v>0</v>
      </c>
      <c r="Q740" s="3">
        <v>0</v>
      </c>
      <c r="R740">
        <v>0</v>
      </c>
      <c r="S740" s="3">
        <v>0</v>
      </c>
    </row>
    <row r="741" spans="1:19" x14ac:dyDescent="0.3">
      <c r="A741" t="s">
        <v>514</v>
      </c>
      <c r="B741" t="s">
        <v>253</v>
      </c>
      <c r="C741" t="s">
        <v>140</v>
      </c>
      <c r="D741" s="1" t="s">
        <v>501</v>
      </c>
      <c r="F741" t="s">
        <v>508</v>
      </c>
      <c r="H741" t="s">
        <v>314</v>
      </c>
      <c r="I741">
        <v>21325095</v>
      </c>
      <c r="J741">
        <v>20825809</v>
      </c>
      <c r="K741" s="3">
        <v>0.97658699999999998</v>
      </c>
      <c r="L741">
        <v>10836310</v>
      </c>
      <c r="M741" s="3">
        <v>0.50814800000000004</v>
      </c>
      <c r="N741">
        <v>10488785</v>
      </c>
      <c r="O741" s="3">
        <v>0.49185200000000001</v>
      </c>
      <c r="P741">
        <v>0</v>
      </c>
      <c r="Q741" s="3">
        <v>0</v>
      </c>
      <c r="R741">
        <v>0</v>
      </c>
      <c r="S741" s="3">
        <v>0</v>
      </c>
    </row>
    <row r="742" spans="1:19" x14ac:dyDescent="0.3">
      <c r="A742" t="s">
        <v>514</v>
      </c>
      <c r="B742" t="s">
        <v>253</v>
      </c>
      <c r="C742" t="s">
        <v>140</v>
      </c>
      <c r="D742" s="1" t="s">
        <v>501</v>
      </c>
      <c r="F742" t="s">
        <v>513</v>
      </c>
      <c r="H742" t="s">
        <v>314</v>
      </c>
      <c r="I742">
        <v>16719794</v>
      </c>
      <c r="J742">
        <v>16328638</v>
      </c>
      <c r="K742" s="3">
        <v>0.97660499999999995</v>
      </c>
      <c r="L742">
        <v>8510927</v>
      </c>
      <c r="M742" s="3">
        <v>0.50903299999999996</v>
      </c>
      <c r="N742">
        <v>8208867</v>
      </c>
      <c r="O742" s="3">
        <v>0.49096699999999999</v>
      </c>
      <c r="P742">
        <v>0</v>
      </c>
      <c r="Q742" s="3">
        <v>0</v>
      </c>
      <c r="R742">
        <v>0</v>
      </c>
      <c r="S742" s="3">
        <v>0</v>
      </c>
    </row>
    <row r="743" spans="1:19" x14ac:dyDescent="0.3">
      <c r="A743" t="s">
        <v>514</v>
      </c>
      <c r="B743" t="s">
        <v>253</v>
      </c>
      <c r="C743" t="s">
        <v>140</v>
      </c>
      <c r="D743" s="1" t="s">
        <v>501</v>
      </c>
      <c r="F743" t="s">
        <v>511</v>
      </c>
      <c r="H743" t="s">
        <v>314</v>
      </c>
      <c r="I743">
        <v>20807019</v>
      </c>
      <c r="J743">
        <v>20346517</v>
      </c>
      <c r="K743" s="3">
        <v>0.97786799999999996</v>
      </c>
      <c r="L743">
        <v>10579187</v>
      </c>
      <c r="M743" s="3">
        <v>0.50844299999999998</v>
      </c>
      <c r="N743">
        <v>10227832</v>
      </c>
      <c r="O743" s="3">
        <v>0.49155700000000002</v>
      </c>
      <c r="P743">
        <v>0</v>
      </c>
      <c r="Q743" s="3">
        <v>0</v>
      </c>
      <c r="R743">
        <v>0</v>
      </c>
      <c r="S743" s="3">
        <v>0</v>
      </c>
    </row>
    <row r="744" spans="1:19" x14ac:dyDescent="0.3">
      <c r="A744" t="s">
        <v>514</v>
      </c>
      <c r="B744" t="s">
        <v>253</v>
      </c>
      <c r="C744" t="s">
        <v>140</v>
      </c>
      <c r="D744" s="1" t="s">
        <v>501</v>
      </c>
      <c r="F744" t="s">
        <v>505</v>
      </c>
      <c r="H744" t="s">
        <v>314</v>
      </c>
      <c r="I744">
        <v>30707835</v>
      </c>
      <c r="J744">
        <v>30065246</v>
      </c>
      <c r="K744" s="3">
        <v>0.979074</v>
      </c>
      <c r="L744">
        <v>15575418</v>
      </c>
      <c r="M744" s="3">
        <v>0.50721300000000002</v>
      </c>
      <c r="N744">
        <v>15132417</v>
      </c>
      <c r="O744" s="3">
        <v>0.49278699999999998</v>
      </c>
      <c r="P744">
        <v>0</v>
      </c>
      <c r="Q744" s="3">
        <v>0</v>
      </c>
      <c r="R744">
        <v>0</v>
      </c>
      <c r="S744" s="3">
        <v>0</v>
      </c>
    </row>
    <row r="745" spans="1:19" x14ac:dyDescent="0.3">
      <c r="A745" t="s">
        <v>514</v>
      </c>
      <c r="B745" t="s">
        <v>253</v>
      </c>
      <c r="C745" t="s">
        <v>140</v>
      </c>
      <c r="D745" s="1" t="s">
        <v>501</v>
      </c>
      <c r="F745" t="s">
        <v>506</v>
      </c>
      <c r="H745" t="s">
        <v>314</v>
      </c>
      <c r="I745">
        <v>25225486</v>
      </c>
      <c r="J745">
        <v>24703848</v>
      </c>
      <c r="K745" s="3">
        <v>0.979321</v>
      </c>
      <c r="L745">
        <v>12815573</v>
      </c>
      <c r="M745" s="3">
        <v>0.50804099999999996</v>
      </c>
      <c r="N745">
        <v>12409913</v>
      </c>
      <c r="O745" s="3">
        <v>0.49195899999999998</v>
      </c>
      <c r="P745">
        <v>0</v>
      </c>
      <c r="Q745" s="3">
        <v>0</v>
      </c>
      <c r="R745">
        <v>0</v>
      </c>
      <c r="S745" s="3">
        <v>0</v>
      </c>
    </row>
    <row r="746" spans="1:19" x14ac:dyDescent="0.3">
      <c r="A746" t="s">
        <v>514</v>
      </c>
      <c r="B746" t="s">
        <v>253</v>
      </c>
      <c r="C746" t="s">
        <v>140</v>
      </c>
      <c r="D746" s="1" t="s">
        <v>501</v>
      </c>
      <c r="F746" t="s">
        <v>510</v>
      </c>
      <c r="H746" t="s">
        <v>314</v>
      </c>
      <c r="I746">
        <v>26954189</v>
      </c>
      <c r="J746">
        <v>26445696</v>
      </c>
      <c r="K746" s="3">
        <v>0.98113499999999998</v>
      </c>
      <c r="L746">
        <v>13652570</v>
      </c>
      <c r="M746" s="3">
        <v>0.50651000000000002</v>
      </c>
      <c r="N746">
        <v>13301619</v>
      </c>
      <c r="O746" s="3">
        <v>0.49348999999999998</v>
      </c>
      <c r="P746">
        <v>0</v>
      </c>
      <c r="Q746" s="3">
        <v>0</v>
      </c>
      <c r="R746">
        <v>0</v>
      </c>
      <c r="S746" s="3">
        <v>0</v>
      </c>
    </row>
    <row r="747" spans="1:19" x14ac:dyDescent="0.3">
      <c r="A747" t="s">
        <v>514</v>
      </c>
      <c r="B747" t="s">
        <v>253</v>
      </c>
      <c r="C747" t="s">
        <v>140</v>
      </c>
      <c r="D747" s="1" t="s">
        <v>501</v>
      </c>
      <c r="F747" t="s">
        <v>504</v>
      </c>
      <c r="H747" t="s">
        <v>314</v>
      </c>
      <c r="I747">
        <v>31825045</v>
      </c>
      <c r="J747">
        <v>31225044</v>
      </c>
      <c r="K747" s="3">
        <v>0.98114699999999999</v>
      </c>
      <c r="L747">
        <v>16111797</v>
      </c>
      <c r="M747" s="3">
        <v>0.50626199999999999</v>
      </c>
      <c r="N747">
        <v>15713248</v>
      </c>
      <c r="O747" s="3">
        <v>0.49373800000000001</v>
      </c>
      <c r="P747">
        <v>0</v>
      </c>
      <c r="Q747" s="3">
        <v>0</v>
      </c>
      <c r="R747">
        <v>0</v>
      </c>
      <c r="S747" s="3">
        <v>0</v>
      </c>
    </row>
    <row r="748" spans="1:19" x14ac:dyDescent="0.3">
      <c r="A748" t="s">
        <v>514</v>
      </c>
      <c r="B748" t="s">
        <v>253</v>
      </c>
      <c r="C748" t="s">
        <v>140</v>
      </c>
      <c r="D748" s="1" t="s">
        <v>501</v>
      </c>
      <c r="F748" t="s">
        <v>512</v>
      </c>
      <c r="H748" t="s">
        <v>314</v>
      </c>
      <c r="I748">
        <v>31539291</v>
      </c>
      <c r="J748">
        <v>30949735</v>
      </c>
      <c r="K748" s="3">
        <v>0.98130700000000004</v>
      </c>
      <c r="L748">
        <v>15992545</v>
      </c>
      <c r="M748" s="3">
        <v>0.50706700000000005</v>
      </c>
      <c r="N748">
        <v>15546746</v>
      </c>
      <c r="O748" s="3">
        <v>0.49293300000000001</v>
      </c>
      <c r="P748">
        <v>0</v>
      </c>
      <c r="Q748" s="3">
        <v>0</v>
      </c>
      <c r="R748">
        <v>0</v>
      </c>
      <c r="S748" s="3">
        <v>0</v>
      </c>
    </row>
    <row r="749" spans="1:19" x14ac:dyDescent="0.3">
      <c r="A749" t="s">
        <v>514</v>
      </c>
      <c r="B749" t="s">
        <v>142</v>
      </c>
      <c r="C749" t="s">
        <v>140</v>
      </c>
      <c r="D749" s="1" t="s">
        <v>501</v>
      </c>
      <c r="F749" t="s">
        <v>507</v>
      </c>
      <c r="H749" t="s">
        <v>314</v>
      </c>
      <c r="I749">
        <v>23259172</v>
      </c>
      <c r="J749">
        <v>8444003</v>
      </c>
      <c r="K749" s="3">
        <v>0.36299999999999999</v>
      </c>
    </row>
    <row r="750" spans="1:19" x14ac:dyDescent="0.3">
      <c r="A750" t="s">
        <v>514</v>
      </c>
      <c r="B750" t="s">
        <v>142</v>
      </c>
      <c r="C750" t="s">
        <v>140</v>
      </c>
      <c r="D750" s="1" t="s">
        <v>501</v>
      </c>
      <c r="F750" t="s">
        <v>506</v>
      </c>
      <c r="H750" t="s">
        <v>314</v>
      </c>
      <c r="I750">
        <v>24474068</v>
      </c>
      <c r="J750">
        <v>8946639</v>
      </c>
      <c r="K750" s="3">
        <v>0.36599999999999999</v>
      </c>
    </row>
    <row r="751" spans="1:19" x14ac:dyDescent="0.3">
      <c r="A751" t="s">
        <v>514</v>
      </c>
      <c r="B751" t="s">
        <v>142</v>
      </c>
      <c r="C751" t="s">
        <v>140</v>
      </c>
      <c r="D751" s="1" t="s">
        <v>501</v>
      </c>
      <c r="F751" t="s">
        <v>502</v>
      </c>
      <c r="H751" t="s">
        <v>314</v>
      </c>
      <c r="I751">
        <v>23934905</v>
      </c>
      <c r="J751">
        <v>8857627</v>
      </c>
      <c r="K751" s="3">
        <v>0.37</v>
      </c>
    </row>
    <row r="752" spans="1:19" x14ac:dyDescent="0.3">
      <c r="A752" t="s">
        <v>514</v>
      </c>
      <c r="B752" t="s">
        <v>142</v>
      </c>
      <c r="C752" t="s">
        <v>140</v>
      </c>
      <c r="D752" s="1" t="s">
        <v>501</v>
      </c>
      <c r="F752" t="s">
        <v>509</v>
      </c>
      <c r="H752" t="s">
        <v>314</v>
      </c>
      <c r="I752">
        <v>22142938</v>
      </c>
      <c r="J752">
        <v>8182445</v>
      </c>
      <c r="K752" s="3">
        <v>0.37</v>
      </c>
    </row>
    <row r="753" spans="1:11" x14ac:dyDescent="0.3">
      <c r="A753" t="s">
        <v>514</v>
      </c>
      <c r="B753" t="s">
        <v>142</v>
      </c>
      <c r="C753" t="s">
        <v>140</v>
      </c>
      <c r="D753" s="1" t="s">
        <v>501</v>
      </c>
      <c r="F753" t="s">
        <v>513</v>
      </c>
      <c r="H753" t="s">
        <v>314</v>
      </c>
      <c r="I753">
        <v>16232832</v>
      </c>
      <c r="J753">
        <v>6028944</v>
      </c>
      <c r="K753" s="3">
        <v>0.371</v>
      </c>
    </row>
    <row r="754" spans="1:11" x14ac:dyDescent="0.3">
      <c r="A754" t="s">
        <v>514</v>
      </c>
      <c r="B754" t="s">
        <v>142</v>
      </c>
      <c r="C754" t="s">
        <v>140</v>
      </c>
      <c r="D754" s="1" t="s">
        <v>501</v>
      </c>
      <c r="F754" t="s">
        <v>503</v>
      </c>
      <c r="H754" t="s">
        <v>314</v>
      </c>
      <c r="I754">
        <v>28729513</v>
      </c>
      <c r="J754">
        <v>10711502</v>
      </c>
      <c r="K754" s="3">
        <v>0.373</v>
      </c>
    </row>
    <row r="755" spans="1:11" x14ac:dyDescent="0.3">
      <c r="A755" t="s">
        <v>514</v>
      </c>
      <c r="B755" t="s">
        <v>142</v>
      </c>
      <c r="C755" t="s">
        <v>140</v>
      </c>
      <c r="D755" s="1" t="s">
        <v>501</v>
      </c>
      <c r="F755" t="s">
        <v>511</v>
      </c>
      <c r="H755" t="s">
        <v>314</v>
      </c>
      <c r="I755">
        <v>20239888</v>
      </c>
      <c r="J755">
        <v>7578674</v>
      </c>
      <c r="K755" s="3">
        <v>0.374</v>
      </c>
    </row>
    <row r="756" spans="1:11" x14ac:dyDescent="0.3">
      <c r="A756" t="s">
        <v>514</v>
      </c>
      <c r="B756" t="s">
        <v>142</v>
      </c>
      <c r="C756" t="s">
        <v>140</v>
      </c>
      <c r="D756" s="1" t="s">
        <v>501</v>
      </c>
      <c r="F756" t="s">
        <v>508</v>
      </c>
      <c r="H756" t="s">
        <v>314</v>
      </c>
      <c r="I756">
        <v>20732439</v>
      </c>
      <c r="J756">
        <v>7787903</v>
      </c>
      <c r="K756" s="3">
        <v>0.376</v>
      </c>
    </row>
    <row r="757" spans="1:11" x14ac:dyDescent="0.3">
      <c r="A757" t="s">
        <v>514</v>
      </c>
      <c r="B757" t="s">
        <v>142</v>
      </c>
      <c r="C757" t="s">
        <v>140</v>
      </c>
      <c r="D757" s="1" t="s">
        <v>501</v>
      </c>
      <c r="F757" t="s">
        <v>510</v>
      </c>
      <c r="H757" t="s">
        <v>314</v>
      </c>
      <c r="I757">
        <v>26220716</v>
      </c>
      <c r="J757">
        <v>9926371</v>
      </c>
      <c r="K757" s="3">
        <v>0.379</v>
      </c>
    </row>
    <row r="758" spans="1:11" x14ac:dyDescent="0.3">
      <c r="A758" t="s">
        <v>514</v>
      </c>
      <c r="B758" t="s">
        <v>142</v>
      </c>
      <c r="C758" t="s">
        <v>140</v>
      </c>
      <c r="D758" s="1" t="s">
        <v>501</v>
      </c>
      <c r="F758" t="s">
        <v>505</v>
      </c>
      <c r="H758" t="s">
        <v>314</v>
      </c>
      <c r="I758">
        <v>29884810</v>
      </c>
      <c r="J758">
        <v>11349755</v>
      </c>
      <c r="K758" s="3">
        <v>0.38</v>
      </c>
    </row>
    <row r="759" spans="1:11" x14ac:dyDescent="0.3">
      <c r="A759" t="s">
        <v>514</v>
      </c>
      <c r="B759" t="s">
        <v>142</v>
      </c>
      <c r="C759" t="s">
        <v>140</v>
      </c>
      <c r="D759" s="1" t="s">
        <v>501</v>
      </c>
      <c r="F759" t="s">
        <v>512</v>
      </c>
      <c r="H759" t="s">
        <v>314</v>
      </c>
      <c r="I759">
        <v>30690057</v>
      </c>
      <c r="J759">
        <v>11677729</v>
      </c>
      <c r="K759" s="3">
        <v>0.38100000000000001</v>
      </c>
    </row>
    <row r="760" spans="1:11" x14ac:dyDescent="0.3">
      <c r="A760" t="s">
        <v>514</v>
      </c>
      <c r="B760" t="s">
        <v>142</v>
      </c>
      <c r="C760" t="s">
        <v>140</v>
      </c>
      <c r="D760" s="1" t="s">
        <v>501</v>
      </c>
      <c r="F760" t="s">
        <v>504</v>
      </c>
      <c r="H760" t="s">
        <v>314</v>
      </c>
      <c r="I760">
        <v>30989737</v>
      </c>
      <c r="J760">
        <v>11857161</v>
      </c>
      <c r="K760" s="3">
        <v>0.38300000000000001</v>
      </c>
    </row>
    <row r="761" spans="1:11" x14ac:dyDescent="0.3">
      <c r="A761" t="s">
        <v>514</v>
      </c>
      <c r="B761" t="s">
        <v>254</v>
      </c>
      <c r="C761" t="s">
        <v>140</v>
      </c>
      <c r="D761" s="1" t="s">
        <v>501</v>
      </c>
      <c r="F761" t="s">
        <v>507</v>
      </c>
      <c r="H761" t="s">
        <v>314</v>
      </c>
      <c r="I761">
        <v>23259172</v>
      </c>
      <c r="J761">
        <v>15075606</v>
      </c>
      <c r="K761" s="3">
        <v>0.64800000000000002</v>
      </c>
    </row>
    <row r="762" spans="1:11" x14ac:dyDescent="0.3">
      <c r="A762" t="s">
        <v>514</v>
      </c>
      <c r="B762" t="s">
        <v>254</v>
      </c>
      <c r="C762" t="s">
        <v>140</v>
      </c>
      <c r="D762" s="1" t="s">
        <v>501</v>
      </c>
      <c r="F762" t="s">
        <v>503</v>
      </c>
      <c r="H762" t="s">
        <v>314</v>
      </c>
      <c r="I762">
        <v>28729513</v>
      </c>
      <c r="J762">
        <v>18721585</v>
      </c>
      <c r="K762" s="3">
        <v>0.65200000000000002</v>
      </c>
    </row>
    <row r="763" spans="1:11" x14ac:dyDescent="0.3">
      <c r="A763" t="s">
        <v>514</v>
      </c>
      <c r="B763" t="s">
        <v>254</v>
      </c>
      <c r="C763" t="s">
        <v>140</v>
      </c>
      <c r="D763" s="1" t="s">
        <v>501</v>
      </c>
      <c r="F763" t="s">
        <v>502</v>
      </c>
      <c r="H763" t="s">
        <v>314</v>
      </c>
      <c r="I763">
        <v>23934905</v>
      </c>
      <c r="J763">
        <v>15623366</v>
      </c>
      <c r="K763" s="3">
        <v>0.65300000000000002</v>
      </c>
    </row>
    <row r="764" spans="1:11" x14ac:dyDescent="0.3">
      <c r="A764" t="s">
        <v>514</v>
      </c>
      <c r="B764" t="s">
        <v>254</v>
      </c>
      <c r="C764" t="s">
        <v>140</v>
      </c>
      <c r="D764" s="1" t="s">
        <v>501</v>
      </c>
      <c r="F764" t="s">
        <v>511</v>
      </c>
      <c r="H764" t="s">
        <v>314</v>
      </c>
      <c r="I764">
        <v>20239888</v>
      </c>
      <c r="J764">
        <v>13215372</v>
      </c>
      <c r="K764" s="3">
        <v>0.65300000000000002</v>
      </c>
    </row>
    <row r="765" spans="1:11" x14ac:dyDescent="0.3">
      <c r="A765" t="s">
        <v>514</v>
      </c>
      <c r="B765" t="s">
        <v>254</v>
      </c>
      <c r="C765" t="s">
        <v>140</v>
      </c>
      <c r="D765" s="1" t="s">
        <v>501</v>
      </c>
      <c r="F765" t="s">
        <v>506</v>
      </c>
      <c r="H765" t="s">
        <v>314</v>
      </c>
      <c r="I765">
        <v>24474068</v>
      </c>
      <c r="J765">
        <v>16011513</v>
      </c>
      <c r="K765" s="3">
        <v>0.65400000000000003</v>
      </c>
    </row>
    <row r="766" spans="1:11" x14ac:dyDescent="0.3">
      <c r="A766" t="s">
        <v>514</v>
      </c>
      <c r="B766" t="s">
        <v>254</v>
      </c>
      <c r="C766" t="s">
        <v>140</v>
      </c>
      <c r="D766" s="1" t="s">
        <v>501</v>
      </c>
      <c r="F766" t="s">
        <v>504</v>
      </c>
      <c r="H766" t="s">
        <v>314</v>
      </c>
      <c r="I766">
        <v>30989737</v>
      </c>
      <c r="J766">
        <v>20299514</v>
      </c>
      <c r="K766" s="3">
        <v>0.65500000000000003</v>
      </c>
    </row>
    <row r="767" spans="1:11" x14ac:dyDescent="0.3">
      <c r="A767" t="s">
        <v>514</v>
      </c>
      <c r="B767" t="s">
        <v>254</v>
      </c>
      <c r="C767" t="s">
        <v>140</v>
      </c>
      <c r="D767" s="1" t="s">
        <v>501</v>
      </c>
      <c r="F767" t="s">
        <v>509</v>
      </c>
      <c r="H767" t="s">
        <v>314</v>
      </c>
      <c r="I767">
        <v>22142938</v>
      </c>
      <c r="J767">
        <v>14494535</v>
      </c>
      <c r="K767" s="3">
        <v>0.65500000000000003</v>
      </c>
    </row>
    <row r="768" spans="1:11" x14ac:dyDescent="0.3">
      <c r="A768" t="s">
        <v>514</v>
      </c>
      <c r="B768" t="s">
        <v>254</v>
      </c>
      <c r="C768" t="s">
        <v>140</v>
      </c>
      <c r="D768" s="1" t="s">
        <v>501</v>
      </c>
      <c r="F768" t="s">
        <v>510</v>
      </c>
      <c r="H768" t="s">
        <v>314</v>
      </c>
      <c r="I768">
        <v>26220716</v>
      </c>
      <c r="J768">
        <v>17180232</v>
      </c>
      <c r="K768" s="3">
        <v>0.65500000000000003</v>
      </c>
    </row>
    <row r="769" spans="1:19" x14ac:dyDescent="0.3">
      <c r="A769" t="s">
        <v>514</v>
      </c>
      <c r="B769" t="s">
        <v>254</v>
      </c>
      <c r="C769" t="s">
        <v>140</v>
      </c>
      <c r="D769" s="1" t="s">
        <v>501</v>
      </c>
      <c r="F769" t="s">
        <v>513</v>
      </c>
      <c r="H769" t="s">
        <v>314</v>
      </c>
      <c r="I769">
        <v>16232832</v>
      </c>
      <c r="J769">
        <v>10640297</v>
      </c>
      <c r="K769" s="3">
        <v>0.65500000000000003</v>
      </c>
    </row>
    <row r="770" spans="1:19" x14ac:dyDescent="0.3">
      <c r="A770" t="s">
        <v>514</v>
      </c>
      <c r="B770" t="s">
        <v>254</v>
      </c>
      <c r="C770" t="s">
        <v>140</v>
      </c>
      <c r="D770" s="1" t="s">
        <v>501</v>
      </c>
      <c r="F770" t="s">
        <v>505</v>
      </c>
      <c r="H770" t="s">
        <v>314</v>
      </c>
      <c r="I770">
        <v>29884810</v>
      </c>
      <c r="J770">
        <v>19594752</v>
      </c>
      <c r="K770" s="3">
        <v>0.65600000000000003</v>
      </c>
    </row>
    <row r="771" spans="1:19" x14ac:dyDescent="0.3">
      <c r="A771" t="s">
        <v>514</v>
      </c>
      <c r="B771" t="s">
        <v>254</v>
      </c>
      <c r="C771" t="s">
        <v>140</v>
      </c>
      <c r="D771" s="1" t="s">
        <v>501</v>
      </c>
      <c r="F771" t="s">
        <v>512</v>
      </c>
      <c r="H771" t="s">
        <v>314</v>
      </c>
      <c r="I771">
        <v>30690057</v>
      </c>
      <c r="J771">
        <v>20125748</v>
      </c>
      <c r="K771" s="3">
        <v>0.65600000000000003</v>
      </c>
    </row>
    <row r="772" spans="1:19" x14ac:dyDescent="0.3">
      <c r="A772" t="s">
        <v>514</v>
      </c>
      <c r="B772" t="s">
        <v>254</v>
      </c>
      <c r="C772" t="s">
        <v>140</v>
      </c>
      <c r="D772" s="1" t="s">
        <v>501</v>
      </c>
      <c r="F772" t="s">
        <v>508</v>
      </c>
      <c r="H772" t="s">
        <v>314</v>
      </c>
      <c r="I772">
        <v>20732439</v>
      </c>
      <c r="J772">
        <v>13636639</v>
      </c>
      <c r="K772" s="3">
        <v>0.65800000000000003</v>
      </c>
    </row>
    <row r="773" spans="1:19" x14ac:dyDescent="0.3">
      <c r="A773" t="s">
        <v>514</v>
      </c>
      <c r="B773" t="s">
        <v>252</v>
      </c>
      <c r="C773" t="s">
        <v>140</v>
      </c>
      <c r="D773" s="1" t="s">
        <v>501</v>
      </c>
      <c r="F773" t="s">
        <v>504</v>
      </c>
      <c r="H773" t="s">
        <v>314</v>
      </c>
      <c r="I773">
        <v>45312192</v>
      </c>
      <c r="J773">
        <v>37704241</v>
      </c>
      <c r="K773" s="3">
        <v>0.83209900000000003</v>
      </c>
      <c r="L773">
        <v>26369301</v>
      </c>
      <c r="M773" s="3">
        <v>0.58194699999999999</v>
      </c>
      <c r="N773">
        <v>18942891</v>
      </c>
      <c r="O773" s="3">
        <v>0.41805300000000001</v>
      </c>
      <c r="P773">
        <v>0</v>
      </c>
      <c r="Q773" s="3">
        <v>0</v>
      </c>
      <c r="R773">
        <v>0</v>
      </c>
      <c r="S773" s="3">
        <v>0</v>
      </c>
    </row>
    <row r="774" spans="1:19" x14ac:dyDescent="0.3">
      <c r="A774" t="s">
        <v>514</v>
      </c>
      <c r="B774" t="s">
        <v>252</v>
      </c>
      <c r="C774" t="s">
        <v>140</v>
      </c>
      <c r="D774" s="1" t="s">
        <v>501</v>
      </c>
      <c r="F774" t="s">
        <v>505</v>
      </c>
      <c r="H774" t="s">
        <v>314</v>
      </c>
      <c r="I774">
        <v>44467398</v>
      </c>
      <c r="J774">
        <v>37102828</v>
      </c>
      <c r="K774" s="3">
        <v>0.83438299999999999</v>
      </c>
      <c r="L774">
        <v>25827973</v>
      </c>
      <c r="M774" s="3">
        <v>0.58082900000000004</v>
      </c>
      <c r="N774">
        <v>18639425</v>
      </c>
      <c r="O774" s="3">
        <v>0.41917100000000002</v>
      </c>
      <c r="P774">
        <v>0</v>
      </c>
      <c r="Q774" s="3">
        <v>0</v>
      </c>
      <c r="R774">
        <v>0</v>
      </c>
      <c r="S774" s="3">
        <v>0</v>
      </c>
    </row>
    <row r="775" spans="1:19" x14ac:dyDescent="0.3">
      <c r="A775" t="s">
        <v>514</v>
      </c>
      <c r="B775" t="s">
        <v>252</v>
      </c>
      <c r="C775" t="s">
        <v>140</v>
      </c>
      <c r="D775" s="1" t="s">
        <v>501</v>
      </c>
      <c r="F775" t="s">
        <v>511</v>
      </c>
      <c r="H775" t="s">
        <v>314</v>
      </c>
      <c r="I775">
        <v>30474657</v>
      </c>
      <c r="J775">
        <v>25436970</v>
      </c>
      <c r="K775" s="3">
        <v>0.83469300000000002</v>
      </c>
      <c r="L775">
        <v>17706767</v>
      </c>
      <c r="M775" s="3">
        <v>0.58103300000000002</v>
      </c>
      <c r="N775">
        <v>12767890</v>
      </c>
      <c r="O775" s="3">
        <v>0.41896699999999998</v>
      </c>
      <c r="P775">
        <v>0</v>
      </c>
      <c r="Q775" s="3">
        <v>0</v>
      </c>
      <c r="R775">
        <v>0</v>
      </c>
      <c r="S775" s="3">
        <v>0</v>
      </c>
    </row>
    <row r="776" spans="1:19" x14ac:dyDescent="0.3">
      <c r="A776" t="s">
        <v>514</v>
      </c>
      <c r="B776" t="s">
        <v>252</v>
      </c>
      <c r="C776" t="s">
        <v>140</v>
      </c>
      <c r="D776" s="1" t="s">
        <v>501</v>
      </c>
      <c r="F776" t="s">
        <v>510</v>
      </c>
      <c r="H776" t="s">
        <v>314</v>
      </c>
      <c r="I776">
        <v>39218925</v>
      </c>
      <c r="J776">
        <v>32738291</v>
      </c>
      <c r="K776" s="3">
        <v>0.834758</v>
      </c>
      <c r="L776">
        <v>22764610</v>
      </c>
      <c r="M776" s="3">
        <v>0.58045000000000002</v>
      </c>
      <c r="N776">
        <v>16454315</v>
      </c>
      <c r="O776" s="3">
        <v>0.41954999999999998</v>
      </c>
      <c r="P776">
        <v>0</v>
      </c>
      <c r="Q776" s="3">
        <v>0</v>
      </c>
      <c r="R776">
        <v>0</v>
      </c>
      <c r="S776" s="3">
        <v>0</v>
      </c>
    </row>
    <row r="777" spans="1:19" x14ac:dyDescent="0.3">
      <c r="A777" t="s">
        <v>514</v>
      </c>
      <c r="B777" t="s">
        <v>252</v>
      </c>
      <c r="C777" t="s">
        <v>140</v>
      </c>
      <c r="D777" s="1" t="s">
        <v>501</v>
      </c>
      <c r="F777" t="s">
        <v>512</v>
      </c>
      <c r="H777" t="s">
        <v>314</v>
      </c>
      <c r="I777">
        <v>45798757</v>
      </c>
      <c r="J777">
        <v>38236908</v>
      </c>
      <c r="K777" s="3">
        <v>0.83489000000000002</v>
      </c>
      <c r="L777">
        <v>26604513</v>
      </c>
      <c r="M777" s="3">
        <v>0.58089999999999997</v>
      </c>
      <c r="N777">
        <v>19194244</v>
      </c>
      <c r="O777" s="3">
        <v>0.41909999999999997</v>
      </c>
      <c r="P777">
        <v>0</v>
      </c>
      <c r="Q777" s="3">
        <v>0</v>
      </c>
      <c r="R777">
        <v>0</v>
      </c>
      <c r="S777" s="3">
        <v>0</v>
      </c>
    </row>
    <row r="778" spans="1:19" x14ac:dyDescent="0.3">
      <c r="A778" t="s">
        <v>514</v>
      </c>
      <c r="B778" t="s">
        <v>252</v>
      </c>
      <c r="C778" t="s">
        <v>140</v>
      </c>
      <c r="D778" s="1" t="s">
        <v>501</v>
      </c>
      <c r="F778" t="s">
        <v>503</v>
      </c>
      <c r="H778" t="s">
        <v>314</v>
      </c>
      <c r="I778">
        <v>43343894</v>
      </c>
      <c r="J778">
        <v>36219563</v>
      </c>
      <c r="K778" s="3">
        <v>0.83563200000000004</v>
      </c>
      <c r="L778">
        <v>25161447</v>
      </c>
      <c r="M778" s="3">
        <v>0.580507</v>
      </c>
      <c r="N778">
        <v>18182447</v>
      </c>
      <c r="O778" s="3">
        <v>0.419493</v>
      </c>
      <c r="P778">
        <v>0</v>
      </c>
      <c r="Q778" s="3">
        <v>0</v>
      </c>
      <c r="R778">
        <v>0</v>
      </c>
      <c r="S778" s="3">
        <v>0</v>
      </c>
    </row>
    <row r="779" spans="1:19" x14ac:dyDescent="0.3">
      <c r="A779" t="s">
        <v>514</v>
      </c>
      <c r="B779" t="s">
        <v>252</v>
      </c>
      <c r="C779" t="s">
        <v>140</v>
      </c>
      <c r="D779" s="1" t="s">
        <v>501</v>
      </c>
      <c r="F779" t="s">
        <v>513</v>
      </c>
      <c r="H779" t="s">
        <v>314</v>
      </c>
      <c r="I779">
        <v>24586794</v>
      </c>
      <c r="J779">
        <v>20618257</v>
      </c>
      <c r="K779" s="3">
        <v>0.83859099999999998</v>
      </c>
      <c r="L779">
        <v>14236591</v>
      </c>
      <c r="M779" s="3">
        <v>0.57903400000000005</v>
      </c>
      <c r="N779">
        <v>10350203</v>
      </c>
      <c r="O779" s="3">
        <v>0.42096600000000001</v>
      </c>
      <c r="P779">
        <v>0</v>
      </c>
      <c r="Q779" s="3">
        <v>0</v>
      </c>
      <c r="R779">
        <v>0</v>
      </c>
      <c r="S779" s="3">
        <v>0</v>
      </c>
    </row>
    <row r="780" spans="1:19" x14ac:dyDescent="0.3">
      <c r="A780" t="s">
        <v>514</v>
      </c>
      <c r="B780" t="s">
        <v>252</v>
      </c>
      <c r="C780" t="s">
        <v>140</v>
      </c>
      <c r="D780" s="1" t="s">
        <v>501</v>
      </c>
      <c r="F780" t="s">
        <v>509</v>
      </c>
      <c r="H780" t="s">
        <v>314</v>
      </c>
      <c r="I780">
        <v>33972585</v>
      </c>
      <c r="J780">
        <v>28492445</v>
      </c>
      <c r="K780" s="3">
        <v>0.83868900000000002</v>
      </c>
      <c r="L780">
        <v>19682845</v>
      </c>
      <c r="M780" s="3">
        <v>0.57937399999999994</v>
      </c>
      <c r="N780">
        <v>14289740</v>
      </c>
      <c r="O780" s="3">
        <v>0.420626</v>
      </c>
      <c r="P780">
        <v>0</v>
      </c>
      <c r="Q780" s="3">
        <v>0</v>
      </c>
      <c r="R780">
        <v>0</v>
      </c>
      <c r="S780" s="3">
        <v>0</v>
      </c>
    </row>
    <row r="781" spans="1:19" x14ac:dyDescent="0.3">
      <c r="A781" t="s">
        <v>514</v>
      </c>
      <c r="B781" t="s">
        <v>252</v>
      </c>
      <c r="C781" t="s">
        <v>140</v>
      </c>
      <c r="D781" s="1" t="s">
        <v>501</v>
      </c>
      <c r="F781" t="s">
        <v>502</v>
      </c>
      <c r="H781" t="s">
        <v>314</v>
      </c>
      <c r="I781">
        <v>36972999</v>
      </c>
      <c r="J781">
        <v>31017245</v>
      </c>
      <c r="K781" s="3">
        <v>0.838916</v>
      </c>
      <c r="L781">
        <v>21407275</v>
      </c>
      <c r="M781" s="3">
        <v>0.57899800000000001</v>
      </c>
      <c r="N781">
        <v>15565724</v>
      </c>
      <c r="O781" s="3">
        <v>0.42100199999999999</v>
      </c>
      <c r="P781">
        <v>0</v>
      </c>
      <c r="Q781" s="3">
        <v>0</v>
      </c>
      <c r="R781">
        <v>0</v>
      </c>
      <c r="S781" s="3">
        <v>0</v>
      </c>
    </row>
    <row r="782" spans="1:19" x14ac:dyDescent="0.3">
      <c r="A782" t="s">
        <v>514</v>
      </c>
      <c r="B782" t="s">
        <v>252</v>
      </c>
      <c r="C782" t="s">
        <v>140</v>
      </c>
      <c r="D782" s="1" t="s">
        <v>501</v>
      </c>
      <c r="F782" t="s">
        <v>508</v>
      </c>
      <c r="H782" t="s">
        <v>314</v>
      </c>
      <c r="I782">
        <v>31784099</v>
      </c>
      <c r="J782">
        <v>26711448</v>
      </c>
      <c r="K782" s="3">
        <v>0.84040300000000001</v>
      </c>
      <c r="L782">
        <v>18359286</v>
      </c>
      <c r="M782" s="3">
        <v>0.57762500000000006</v>
      </c>
      <c r="N782">
        <v>13424813</v>
      </c>
      <c r="O782" s="3">
        <v>0.422375</v>
      </c>
      <c r="P782">
        <v>0</v>
      </c>
      <c r="Q782" s="3">
        <v>0</v>
      </c>
      <c r="R782">
        <v>0</v>
      </c>
      <c r="S782" s="3">
        <v>0</v>
      </c>
    </row>
    <row r="783" spans="1:19" x14ac:dyDescent="0.3">
      <c r="A783" t="s">
        <v>514</v>
      </c>
      <c r="B783" t="s">
        <v>252</v>
      </c>
      <c r="C783" t="s">
        <v>140</v>
      </c>
      <c r="D783" s="1" t="s">
        <v>501</v>
      </c>
      <c r="F783" t="s">
        <v>506</v>
      </c>
      <c r="H783" t="s">
        <v>314</v>
      </c>
      <c r="I783">
        <v>37978321</v>
      </c>
      <c r="J783">
        <v>31924944</v>
      </c>
      <c r="K783" s="3">
        <v>0.84060999999999997</v>
      </c>
      <c r="L783">
        <v>21957655</v>
      </c>
      <c r="M783" s="3">
        <v>0.57816299999999998</v>
      </c>
      <c r="N783">
        <v>16020666</v>
      </c>
      <c r="O783" s="3">
        <v>0.42183700000000002</v>
      </c>
      <c r="P783">
        <v>0</v>
      </c>
      <c r="Q783" s="3">
        <v>0</v>
      </c>
      <c r="R783">
        <v>0</v>
      </c>
      <c r="S783" s="3">
        <v>0</v>
      </c>
    </row>
    <row r="784" spans="1:19" x14ac:dyDescent="0.3">
      <c r="A784" t="s">
        <v>514</v>
      </c>
      <c r="B784" t="s">
        <v>252</v>
      </c>
      <c r="C784" t="s">
        <v>140</v>
      </c>
      <c r="D784" s="1" t="s">
        <v>501</v>
      </c>
      <c r="F784" t="s">
        <v>507</v>
      </c>
      <c r="H784" t="s">
        <v>314</v>
      </c>
      <c r="I784">
        <v>36437995</v>
      </c>
      <c r="J784">
        <v>30675147</v>
      </c>
      <c r="K784" s="3">
        <v>0.84184499999999995</v>
      </c>
      <c r="L784">
        <v>21049350</v>
      </c>
      <c r="M784" s="3">
        <v>0.57767599999999997</v>
      </c>
      <c r="N784">
        <v>15388645</v>
      </c>
      <c r="O784" s="3">
        <v>0.42232399999999998</v>
      </c>
      <c r="P784">
        <v>0</v>
      </c>
      <c r="Q784" s="3">
        <v>0</v>
      </c>
      <c r="R784">
        <v>0</v>
      </c>
      <c r="S784" s="3">
        <v>0</v>
      </c>
    </row>
    <row r="785" spans="1:27" x14ac:dyDescent="0.3">
      <c r="A785" t="s">
        <v>514</v>
      </c>
      <c r="B785" t="s">
        <v>236</v>
      </c>
      <c r="C785" t="s">
        <v>140</v>
      </c>
      <c r="D785" s="1" t="s">
        <v>501</v>
      </c>
      <c r="F785" t="s">
        <v>507</v>
      </c>
      <c r="H785" t="s">
        <v>314</v>
      </c>
      <c r="I785">
        <v>23439608</v>
      </c>
      <c r="J785">
        <v>22083270</v>
      </c>
      <c r="K785" s="3">
        <v>0.94213499999999994</v>
      </c>
      <c r="L785">
        <v>12332261</v>
      </c>
      <c r="M785" s="3">
        <v>0.52612899999999996</v>
      </c>
      <c r="N785">
        <v>11107347</v>
      </c>
      <c r="O785" s="3">
        <v>0.47387099999999999</v>
      </c>
      <c r="P785">
        <v>494079</v>
      </c>
      <c r="Q785" s="3">
        <v>2.1078800000000002E-2</v>
      </c>
      <c r="R785">
        <v>0</v>
      </c>
      <c r="S785" s="3">
        <v>0</v>
      </c>
    </row>
    <row r="786" spans="1:27" x14ac:dyDescent="0.3">
      <c r="A786" t="s">
        <v>514</v>
      </c>
      <c r="B786" t="s">
        <v>236</v>
      </c>
      <c r="C786" t="s">
        <v>140</v>
      </c>
      <c r="D786" s="1" t="s">
        <v>501</v>
      </c>
      <c r="F786" t="s">
        <v>509</v>
      </c>
      <c r="H786" t="s">
        <v>314</v>
      </c>
      <c r="I786">
        <v>22310782</v>
      </c>
      <c r="J786">
        <v>21147910</v>
      </c>
      <c r="K786" s="3">
        <v>0.947878</v>
      </c>
      <c r="L786">
        <v>11694740</v>
      </c>
      <c r="M786" s="3">
        <v>0.52417400000000003</v>
      </c>
      <c r="N786">
        <v>10616042</v>
      </c>
      <c r="O786" s="3">
        <v>0.47582600000000003</v>
      </c>
      <c r="P786">
        <v>472339</v>
      </c>
      <c r="Q786" s="3">
        <v>2.1170899999999999E-2</v>
      </c>
      <c r="R786">
        <v>0</v>
      </c>
      <c r="S786" s="3">
        <v>0</v>
      </c>
    </row>
    <row r="787" spans="1:27" x14ac:dyDescent="0.3">
      <c r="A787" t="s">
        <v>514</v>
      </c>
      <c r="B787" t="s">
        <v>236</v>
      </c>
      <c r="C787" t="s">
        <v>140</v>
      </c>
      <c r="D787" s="1" t="s">
        <v>501</v>
      </c>
      <c r="F787" t="s">
        <v>503</v>
      </c>
      <c r="H787" t="s">
        <v>314</v>
      </c>
      <c r="I787">
        <v>28950695</v>
      </c>
      <c r="J787">
        <v>27459819</v>
      </c>
      <c r="K787" s="3">
        <v>0.94850299999999999</v>
      </c>
      <c r="L787">
        <v>15139286</v>
      </c>
      <c r="M787" s="3">
        <v>0.52293299999999998</v>
      </c>
      <c r="N787">
        <v>13811409</v>
      </c>
      <c r="O787" s="3">
        <v>0.47706700000000002</v>
      </c>
      <c r="P787">
        <v>601621</v>
      </c>
      <c r="Q787" s="3">
        <v>2.0780900000000001E-2</v>
      </c>
      <c r="R787">
        <v>0</v>
      </c>
      <c r="S787" s="3">
        <v>0</v>
      </c>
    </row>
    <row r="788" spans="1:27" x14ac:dyDescent="0.3">
      <c r="A788" t="s">
        <v>514</v>
      </c>
      <c r="B788" t="s">
        <v>236</v>
      </c>
      <c r="C788" t="s">
        <v>140</v>
      </c>
      <c r="D788" s="1" t="s">
        <v>501</v>
      </c>
      <c r="F788" t="s">
        <v>502</v>
      </c>
      <c r="H788" t="s">
        <v>314</v>
      </c>
      <c r="I788">
        <v>24117744</v>
      </c>
      <c r="J788">
        <v>22921891</v>
      </c>
      <c r="K788" s="3">
        <v>0.95041600000000004</v>
      </c>
      <c r="L788">
        <v>12596079</v>
      </c>
      <c r="M788" s="3">
        <v>0.52227400000000002</v>
      </c>
      <c r="N788">
        <v>11521665</v>
      </c>
      <c r="O788" s="3">
        <v>0.47772599999999998</v>
      </c>
      <c r="P788">
        <v>508929</v>
      </c>
      <c r="Q788" s="3">
        <v>2.11018E-2</v>
      </c>
      <c r="R788">
        <v>0</v>
      </c>
      <c r="S788" s="3">
        <v>0</v>
      </c>
    </row>
    <row r="789" spans="1:27" x14ac:dyDescent="0.3">
      <c r="A789" t="s">
        <v>514</v>
      </c>
      <c r="B789" t="s">
        <v>236</v>
      </c>
      <c r="C789" t="s">
        <v>140</v>
      </c>
      <c r="D789" s="1" t="s">
        <v>501</v>
      </c>
      <c r="F789" t="s">
        <v>508</v>
      </c>
      <c r="H789" t="s">
        <v>314</v>
      </c>
      <c r="I789">
        <v>20893933</v>
      </c>
      <c r="J789">
        <v>19875948</v>
      </c>
      <c r="K789" s="3">
        <v>0.95127899999999999</v>
      </c>
      <c r="L789">
        <v>10876215</v>
      </c>
      <c r="M789" s="3">
        <v>0.52054400000000001</v>
      </c>
      <c r="N789">
        <v>10017718</v>
      </c>
      <c r="O789" s="3">
        <v>0.47945599999999999</v>
      </c>
      <c r="P789">
        <v>436122</v>
      </c>
      <c r="Q789" s="3">
        <v>2.0873099999999999E-2</v>
      </c>
      <c r="R789">
        <v>0</v>
      </c>
      <c r="S789" s="3">
        <v>0</v>
      </c>
    </row>
    <row r="790" spans="1:27" x14ac:dyDescent="0.3">
      <c r="A790" t="s">
        <v>514</v>
      </c>
      <c r="B790" t="s">
        <v>236</v>
      </c>
      <c r="C790" t="s">
        <v>140</v>
      </c>
      <c r="D790" s="1" t="s">
        <v>501</v>
      </c>
      <c r="F790" t="s">
        <v>513</v>
      </c>
      <c r="H790" t="s">
        <v>314</v>
      </c>
      <c r="I790">
        <v>16354017</v>
      </c>
      <c r="J790">
        <v>15559119</v>
      </c>
      <c r="K790" s="3">
        <v>0.95139399999999996</v>
      </c>
      <c r="L790">
        <v>8523944</v>
      </c>
      <c r="M790" s="3">
        <v>0.52121399999999996</v>
      </c>
      <c r="N790">
        <v>7830073</v>
      </c>
      <c r="O790" s="3">
        <v>0.47878599999999999</v>
      </c>
      <c r="P790">
        <v>340905</v>
      </c>
      <c r="Q790" s="3">
        <v>2.0845300000000001E-2</v>
      </c>
      <c r="R790">
        <v>0</v>
      </c>
      <c r="S790" s="3">
        <v>0</v>
      </c>
    </row>
    <row r="791" spans="1:27" x14ac:dyDescent="0.3">
      <c r="A791" t="s">
        <v>514</v>
      </c>
      <c r="B791" t="s">
        <v>236</v>
      </c>
      <c r="C791" t="s">
        <v>140</v>
      </c>
      <c r="D791" s="1" t="s">
        <v>501</v>
      </c>
      <c r="F791" t="s">
        <v>506</v>
      </c>
      <c r="H791" t="s">
        <v>314</v>
      </c>
      <c r="I791">
        <v>24666103</v>
      </c>
      <c r="J791">
        <v>23490322</v>
      </c>
      <c r="K791" s="3">
        <v>0.95233199999999996</v>
      </c>
      <c r="L791">
        <v>12856272</v>
      </c>
      <c r="M791" s="3">
        <v>0.52121200000000001</v>
      </c>
      <c r="N791">
        <v>11809831</v>
      </c>
      <c r="O791" s="3">
        <v>0.47878799999999999</v>
      </c>
      <c r="P791">
        <v>532126</v>
      </c>
      <c r="Q791" s="3">
        <v>2.1573200000000001E-2</v>
      </c>
      <c r="R791">
        <v>0</v>
      </c>
      <c r="S791" s="3">
        <v>0</v>
      </c>
    </row>
    <row r="792" spans="1:27" x14ac:dyDescent="0.3">
      <c r="A792" t="s">
        <v>514</v>
      </c>
      <c r="B792" t="s">
        <v>236</v>
      </c>
      <c r="C792" t="s">
        <v>140</v>
      </c>
      <c r="D792" s="1" t="s">
        <v>501</v>
      </c>
      <c r="F792" t="s">
        <v>511</v>
      </c>
      <c r="H792" t="s">
        <v>314</v>
      </c>
      <c r="I792">
        <v>20396006</v>
      </c>
      <c r="J792">
        <v>19432000</v>
      </c>
      <c r="K792" s="3">
        <v>0.95273600000000003</v>
      </c>
      <c r="L792">
        <v>10621680</v>
      </c>
      <c r="M792" s="3">
        <v>0.52077300000000004</v>
      </c>
      <c r="N792">
        <v>9774326</v>
      </c>
      <c r="O792" s="3">
        <v>0.47922700000000001</v>
      </c>
      <c r="P792">
        <v>426792</v>
      </c>
      <c r="Q792" s="3">
        <v>2.0925300000000001E-2</v>
      </c>
      <c r="R792">
        <v>0</v>
      </c>
      <c r="S792" s="3">
        <v>0</v>
      </c>
    </row>
    <row r="793" spans="1:27" x14ac:dyDescent="0.3">
      <c r="A793" t="s">
        <v>514</v>
      </c>
      <c r="B793" t="s">
        <v>236</v>
      </c>
      <c r="C793" t="s">
        <v>140</v>
      </c>
      <c r="D793" s="1" t="s">
        <v>501</v>
      </c>
      <c r="F793" t="s">
        <v>505</v>
      </c>
      <c r="H793" t="s">
        <v>314</v>
      </c>
      <c r="I793">
        <v>30116832</v>
      </c>
      <c r="J793">
        <v>28790235</v>
      </c>
      <c r="K793" s="3">
        <v>0.95595200000000002</v>
      </c>
      <c r="L793">
        <v>15614047</v>
      </c>
      <c r="M793" s="3">
        <v>0.51844900000000005</v>
      </c>
      <c r="N793">
        <v>14502785</v>
      </c>
      <c r="O793" s="3">
        <v>0.48155100000000001</v>
      </c>
      <c r="P793">
        <v>623219</v>
      </c>
      <c r="Q793" s="3">
        <v>2.0693400000000001E-2</v>
      </c>
      <c r="R793">
        <v>0</v>
      </c>
      <c r="S793" s="3">
        <v>0</v>
      </c>
    </row>
    <row r="794" spans="1:27" x14ac:dyDescent="0.3">
      <c r="A794" t="s">
        <v>514</v>
      </c>
      <c r="B794" t="s">
        <v>236</v>
      </c>
      <c r="C794" t="s">
        <v>140</v>
      </c>
      <c r="D794" s="1" t="s">
        <v>501</v>
      </c>
      <c r="F794" t="s">
        <v>510</v>
      </c>
      <c r="H794" t="s">
        <v>314</v>
      </c>
      <c r="I794">
        <v>26423664</v>
      </c>
      <c r="J794">
        <v>25288987</v>
      </c>
      <c r="K794" s="3">
        <v>0.95705799999999996</v>
      </c>
      <c r="L794">
        <v>13688737</v>
      </c>
      <c r="M794" s="3">
        <v>0.51804799999999995</v>
      </c>
      <c r="N794">
        <v>12734927</v>
      </c>
      <c r="O794" s="3">
        <v>0.48195199999999999</v>
      </c>
      <c r="P794">
        <v>543662</v>
      </c>
      <c r="Q794" s="3">
        <v>2.0574800000000001E-2</v>
      </c>
      <c r="R794">
        <v>0</v>
      </c>
      <c r="S794" s="3">
        <v>0</v>
      </c>
    </row>
    <row r="795" spans="1:27" x14ac:dyDescent="0.3">
      <c r="A795" t="s">
        <v>514</v>
      </c>
      <c r="B795" t="s">
        <v>236</v>
      </c>
      <c r="C795" t="s">
        <v>140</v>
      </c>
      <c r="D795" s="1" t="s">
        <v>501</v>
      </c>
      <c r="F795" t="s">
        <v>512</v>
      </c>
      <c r="H795" t="s">
        <v>314</v>
      </c>
      <c r="I795">
        <v>30923531</v>
      </c>
      <c r="J795">
        <v>29630372</v>
      </c>
      <c r="K795" s="3">
        <v>0.95818199999999998</v>
      </c>
      <c r="L795">
        <v>16026375</v>
      </c>
      <c r="M795" s="3">
        <v>0.518258</v>
      </c>
      <c r="N795">
        <v>14897156</v>
      </c>
      <c r="O795" s="3">
        <v>0.481742</v>
      </c>
      <c r="P795">
        <v>644165</v>
      </c>
      <c r="Q795" s="3">
        <v>2.0830899999999999E-2</v>
      </c>
      <c r="R795">
        <v>0</v>
      </c>
      <c r="S795" s="3">
        <v>0</v>
      </c>
    </row>
    <row r="796" spans="1:27" x14ac:dyDescent="0.3">
      <c r="A796" t="s">
        <v>514</v>
      </c>
      <c r="B796" t="s">
        <v>236</v>
      </c>
      <c r="C796" t="s">
        <v>140</v>
      </c>
      <c r="D796" s="1" t="s">
        <v>501</v>
      </c>
      <c r="F796" t="s">
        <v>504</v>
      </c>
      <c r="H796" t="s">
        <v>314</v>
      </c>
      <c r="I796">
        <v>31229694</v>
      </c>
      <c r="J796">
        <v>29928812</v>
      </c>
      <c r="K796" s="3">
        <v>0.958345</v>
      </c>
      <c r="L796">
        <v>16156761</v>
      </c>
      <c r="M796" s="3">
        <v>0.51735299999999995</v>
      </c>
      <c r="N796">
        <v>15072933</v>
      </c>
      <c r="O796" s="3">
        <v>0.48264699999999999</v>
      </c>
      <c r="P796">
        <v>645080</v>
      </c>
      <c r="Q796" s="3">
        <v>2.0656000000000001E-2</v>
      </c>
      <c r="R796">
        <v>0</v>
      </c>
      <c r="S796" s="3">
        <v>0</v>
      </c>
    </row>
    <row r="797" spans="1:27" x14ac:dyDescent="0.3">
      <c r="A797" t="s">
        <v>256</v>
      </c>
      <c r="B797" t="s">
        <v>253</v>
      </c>
      <c r="C797" t="s">
        <v>43</v>
      </c>
      <c r="D797" t="s">
        <v>10</v>
      </c>
      <c r="E797" t="s">
        <v>305</v>
      </c>
      <c r="F797" t="s">
        <v>157</v>
      </c>
      <c r="G797">
        <v>2</v>
      </c>
      <c r="H797" t="s">
        <v>313</v>
      </c>
      <c r="I797">
        <v>17835346</v>
      </c>
      <c r="J797">
        <v>17279872</v>
      </c>
      <c r="K797" s="3">
        <v>0.96885500000000002</v>
      </c>
      <c r="L797">
        <v>9204615</v>
      </c>
      <c r="M797" s="3">
        <v>0.51608799999999999</v>
      </c>
      <c r="N797">
        <v>8630731</v>
      </c>
      <c r="O797" s="3">
        <v>0.48391200000000001</v>
      </c>
      <c r="P797">
        <v>0</v>
      </c>
      <c r="Q797" s="3">
        <v>0</v>
      </c>
      <c r="R797">
        <v>0</v>
      </c>
      <c r="S797" s="11">
        <v>1</v>
      </c>
      <c r="T797">
        <v>17159249</v>
      </c>
      <c r="U797" s="3">
        <v>0.96209199999999995</v>
      </c>
      <c r="V797">
        <v>8881217</v>
      </c>
      <c r="W797">
        <v>8954129</v>
      </c>
      <c r="X797">
        <v>120623</v>
      </c>
      <c r="Y797" s="3">
        <v>6.76314E-3</v>
      </c>
      <c r="Z797">
        <v>4382.97</v>
      </c>
      <c r="AA797">
        <v>40</v>
      </c>
    </row>
    <row r="798" spans="1:27" x14ac:dyDescent="0.3">
      <c r="A798" t="s">
        <v>256</v>
      </c>
      <c r="B798" t="s">
        <v>253</v>
      </c>
      <c r="C798" t="s">
        <v>43</v>
      </c>
      <c r="D798" t="s">
        <v>10</v>
      </c>
      <c r="E798" t="s">
        <v>305</v>
      </c>
      <c r="F798" t="s">
        <v>159</v>
      </c>
      <c r="G798">
        <v>2</v>
      </c>
      <c r="H798" t="s">
        <v>313</v>
      </c>
      <c r="I798">
        <v>20908289</v>
      </c>
      <c r="J798">
        <v>20330636</v>
      </c>
      <c r="K798" s="3">
        <v>0.97237200000000001</v>
      </c>
      <c r="L798">
        <v>10759699</v>
      </c>
      <c r="M798" s="3">
        <v>0.51461400000000002</v>
      </c>
      <c r="N798">
        <v>10148590</v>
      </c>
      <c r="O798" s="3">
        <v>0.48538599999999998</v>
      </c>
      <c r="P798">
        <v>0</v>
      </c>
      <c r="Q798" s="3">
        <v>0</v>
      </c>
      <c r="R798">
        <v>0</v>
      </c>
      <c r="S798" s="11">
        <v>1</v>
      </c>
      <c r="T798">
        <v>20192816</v>
      </c>
      <c r="U798" s="3">
        <v>0.96577999999999997</v>
      </c>
      <c r="V798">
        <v>10409790</v>
      </c>
      <c r="W798">
        <v>10498499</v>
      </c>
      <c r="X798">
        <v>137820</v>
      </c>
      <c r="Y798" s="3">
        <v>6.5916400000000002E-3</v>
      </c>
      <c r="Z798">
        <v>3878.39</v>
      </c>
      <c r="AA798">
        <v>45</v>
      </c>
    </row>
    <row r="799" spans="1:27" x14ac:dyDescent="0.3">
      <c r="A799" t="s">
        <v>256</v>
      </c>
      <c r="B799" t="s">
        <v>253</v>
      </c>
      <c r="C799" t="s">
        <v>43</v>
      </c>
      <c r="D799" t="s">
        <v>10</v>
      </c>
      <c r="E799" t="s">
        <v>305</v>
      </c>
      <c r="F799" t="s">
        <v>158</v>
      </c>
      <c r="G799">
        <v>2</v>
      </c>
      <c r="H799" t="s">
        <v>313</v>
      </c>
      <c r="I799">
        <v>16131877</v>
      </c>
      <c r="J799">
        <v>15709632</v>
      </c>
      <c r="K799" s="3">
        <v>0.97382500000000005</v>
      </c>
      <c r="L799">
        <v>8285876</v>
      </c>
      <c r="M799" s="3">
        <v>0.51363400000000003</v>
      </c>
      <c r="N799">
        <v>7846001</v>
      </c>
      <c r="O799" s="3">
        <v>0.48636600000000002</v>
      </c>
      <c r="P799">
        <v>0</v>
      </c>
      <c r="Q799" s="3">
        <v>0</v>
      </c>
      <c r="R799">
        <v>0</v>
      </c>
      <c r="S799" s="11">
        <v>1</v>
      </c>
      <c r="T799">
        <v>15614495</v>
      </c>
      <c r="U799" s="3">
        <v>0.96792800000000001</v>
      </c>
      <c r="V799">
        <v>8037758</v>
      </c>
      <c r="W799">
        <v>8094119</v>
      </c>
      <c r="X799">
        <v>95137</v>
      </c>
      <c r="Y799" s="3">
        <v>5.8974500000000003E-3</v>
      </c>
      <c r="Z799">
        <v>3939.97</v>
      </c>
      <c r="AA799">
        <v>43</v>
      </c>
    </row>
    <row r="800" spans="1:27" x14ac:dyDescent="0.3">
      <c r="A800" t="s">
        <v>256</v>
      </c>
      <c r="B800" t="s">
        <v>253</v>
      </c>
      <c r="C800" t="s">
        <v>140</v>
      </c>
      <c r="D800" t="s">
        <v>15</v>
      </c>
      <c r="E800" t="s">
        <v>306</v>
      </c>
      <c r="F800" t="s">
        <v>154</v>
      </c>
      <c r="G800">
        <v>2</v>
      </c>
      <c r="H800" t="s">
        <v>313</v>
      </c>
      <c r="I800">
        <v>24852914</v>
      </c>
      <c r="J800">
        <v>24221052</v>
      </c>
      <c r="K800" s="3">
        <v>0.974576</v>
      </c>
      <c r="L800">
        <v>12752960</v>
      </c>
      <c r="M800" s="3">
        <v>0.51313699999999995</v>
      </c>
      <c r="N800">
        <v>12099954</v>
      </c>
      <c r="O800" s="3">
        <v>0.48686299999999999</v>
      </c>
      <c r="P800">
        <v>0</v>
      </c>
      <c r="Q800" s="3">
        <v>0</v>
      </c>
      <c r="R800">
        <v>0</v>
      </c>
      <c r="S800" s="11">
        <v>1</v>
      </c>
      <c r="T800">
        <v>24077784</v>
      </c>
      <c r="U800" s="3">
        <v>0.96881099999999998</v>
      </c>
      <c r="V800">
        <v>12387660</v>
      </c>
      <c r="W800">
        <v>12465254</v>
      </c>
      <c r="X800">
        <v>143268</v>
      </c>
      <c r="Y800" s="3">
        <v>5.7646399999999997E-3</v>
      </c>
      <c r="Z800">
        <v>3827.44</v>
      </c>
      <c r="AA800">
        <v>46</v>
      </c>
    </row>
    <row r="801" spans="1:27" x14ac:dyDescent="0.3">
      <c r="A801" t="s">
        <v>256</v>
      </c>
      <c r="B801" t="s">
        <v>253</v>
      </c>
      <c r="C801" t="s">
        <v>140</v>
      </c>
      <c r="D801" t="s">
        <v>15</v>
      </c>
      <c r="E801" t="s">
        <v>306</v>
      </c>
      <c r="F801" t="s">
        <v>153</v>
      </c>
      <c r="G801">
        <v>2</v>
      </c>
      <c r="H801" t="s">
        <v>313</v>
      </c>
      <c r="I801">
        <v>37812992</v>
      </c>
      <c r="J801">
        <v>36896257</v>
      </c>
      <c r="K801" s="3">
        <v>0.97575599999999996</v>
      </c>
      <c r="L801">
        <v>19381276</v>
      </c>
      <c r="M801" s="3">
        <v>0.51255600000000001</v>
      </c>
      <c r="N801">
        <v>18431716</v>
      </c>
      <c r="O801" s="3">
        <v>0.48744399999999999</v>
      </c>
      <c r="P801">
        <v>0</v>
      </c>
      <c r="Q801" s="3">
        <v>0</v>
      </c>
      <c r="R801">
        <v>0</v>
      </c>
      <c r="S801" s="11">
        <v>1</v>
      </c>
      <c r="T801">
        <v>36685832</v>
      </c>
      <c r="U801" s="3">
        <v>0.97019100000000003</v>
      </c>
      <c r="V801">
        <v>18843056</v>
      </c>
      <c r="W801">
        <v>18969936</v>
      </c>
      <c r="X801">
        <v>210425</v>
      </c>
      <c r="Y801" s="3">
        <v>5.5648900000000003E-3</v>
      </c>
      <c r="Z801">
        <v>3649.75</v>
      </c>
      <c r="AA801">
        <v>43</v>
      </c>
    </row>
    <row r="802" spans="1:27" x14ac:dyDescent="0.3">
      <c r="A802" t="s">
        <v>256</v>
      </c>
      <c r="B802" t="s">
        <v>253</v>
      </c>
      <c r="C802" t="s">
        <v>140</v>
      </c>
      <c r="D802" t="s">
        <v>20</v>
      </c>
      <c r="E802" t="s">
        <v>307</v>
      </c>
      <c r="F802" t="s">
        <v>155</v>
      </c>
      <c r="G802">
        <v>2</v>
      </c>
      <c r="H802" t="s">
        <v>313</v>
      </c>
      <c r="I802">
        <v>69519075</v>
      </c>
      <c r="J802">
        <v>67906792</v>
      </c>
      <c r="K802" s="3">
        <v>0.97680800000000001</v>
      </c>
      <c r="L802">
        <v>35592117</v>
      </c>
      <c r="M802" s="3">
        <v>0.51197599999999999</v>
      </c>
      <c r="N802">
        <v>33926958</v>
      </c>
      <c r="O802" s="3">
        <v>0.48802400000000001</v>
      </c>
      <c r="P802">
        <v>0</v>
      </c>
      <c r="Q802" s="3">
        <v>0</v>
      </c>
      <c r="R802">
        <v>0</v>
      </c>
      <c r="S802" s="11">
        <v>1</v>
      </c>
      <c r="T802">
        <v>67521955</v>
      </c>
      <c r="U802" s="3">
        <v>0.97127200000000002</v>
      </c>
      <c r="V802">
        <v>34640968</v>
      </c>
      <c r="W802">
        <v>34878107</v>
      </c>
      <c r="X802">
        <v>384837</v>
      </c>
      <c r="Y802" s="3">
        <v>5.5357000000000002E-3</v>
      </c>
      <c r="Z802">
        <v>4162.6099999999997</v>
      </c>
      <c r="AA802">
        <v>47</v>
      </c>
    </row>
    <row r="803" spans="1:27" x14ac:dyDescent="0.3">
      <c r="A803" t="s">
        <v>256</v>
      </c>
      <c r="B803" t="s">
        <v>253</v>
      </c>
      <c r="C803" t="s">
        <v>140</v>
      </c>
      <c r="D803" t="s">
        <v>10</v>
      </c>
      <c r="E803" t="s">
        <v>305</v>
      </c>
      <c r="F803" t="s">
        <v>75</v>
      </c>
      <c r="G803">
        <v>1</v>
      </c>
      <c r="H803" t="s">
        <v>313</v>
      </c>
      <c r="I803">
        <v>11170183</v>
      </c>
      <c r="J803">
        <v>10912823</v>
      </c>
      <c r="K803" s="3">
        <v>0.97696000000000005</v>
      </c>
      <c r="L803">
        <v>5705844</v>
      </c>
      <c r="M803" s="3">
        <v>0.51080999999999999</v>
      </c>
      <c r="N803">
        <v>5464339</v>
      </c>
      <c r="O803" s="3">
        <v>0.48919000000000001</v>
      </c>
      <c r="P803">
        <v>0</v>
      </c>
      <c r="Q803" s="3">
        <v>0</v>
      </c>
      <c r="R803">
        <v>0</v>
      </c>
      <c r="S803" s="11">
        <v>1</v>
      </c>
      <c r="T803">
        <v>10856442</v>
      </c>
      <c r="U803" s="3">
        <v>0.97191300000000003</v>
      </c>
      <c r="V803">
        <v>5600469</v>
      </c>
      <c r="W803">
        <v>5569714</v>
      </c>
      <c r="X803">
        <v>56381</v>
      </c>
      <c r="Y803" s="3">
        <v>5.0474600000000001E-3</v>
      </c>
      <c r="Z803">
        <v>6210.59</v>
      </c>
      <c r="AA803">
        <v>49</v>
      </c>
    </row>
    <row r="804" spans="1:27" x14ac:dyDescent="0.3">
      <c r="A804" t="s">
        <v>256</v>
      </c>
      <c r="B804" t="s">
        <v>253</v>
      </c>
      <c r="C804" t="s">
        <v>43</v>
      </c>
      <c r="D804" t="s">
        <v>15</v>
      </c>
      <c r="E804" t="s">
        <v>306</v>
      </c>
      <c r="F804" t="s">
        <v>160</v>
      </c>
      <c r="G804">
        <v>2</v>
      </c>
      <c r="H804" t="s">
        <v>313</v>
      </c>
      <c r="I804">
        <v>34326769</v>
      </c>
      <c r="J804">
        <v>33548212</v>
      </c>
      <c r="K804" s="3">
        <v>0.97731900000000005</v>
      </c>
      <c r="L804">
        <v>17570489</v>
      </c>
      <c r="M804" s="3">
        <v>0.51185999999999998</v>
      </c>
      <c r="N804">
        <v>16756280</v>
      </c>
      <c r="O804" s="3">
        <v>0.48814000000000002</v>
      </c>
      <c r="P804">
        <v>0</v>
      </c>
      <c r="Q804" s="3">
        <v>0</v>
      </c>
      <c r="R804">
        <v>0</v>
      </c>
      <c r="S804" s="11">
        <v>1</v>
      </c>
      <c r="T804">
        <v>33363547</v>
      </c>
      <c r="U804" s="3">
        <v>0.97194000000000003</v>
      </c>
      <c r="V804">
        <v>17105701</v>
      </c>
      <c r="W804">
        <v>17221068</v>
      </c>
      <c r="X804">
        <v>184665</v>
      </c>
      <c r="Y804" s="3">
        <v>5.3796199999999999E-3</v>
      </c>
      <c r="Z804">
        <v>4060.33</v>
      </c>
      <c r="AA804">
        <v>47</v>
      </c>
    </row>
    <row r="805" spans="1:27" x14ac:dyDescent="0.3">
      <c r="A805" t="s">
        <v>256</v>
      </c>
      <c r="B805" t="s">
        <v>253</v>
      </c>
      <c r="C805" t="s">
        <v>140</v>
      </c>
      <c r="D805" t="s">
        <v>15</v>
      </c>
      <c r="E805" t="s">
        <v>306</v>
      </c>
      <c r="F805" t="s">
        <v>82</v>
      </c>
      <c r="G805">
        <v>1</v>
      </c>
      <c r="H805" t="s">
        <v>313</v>
      </c>
      <c r="I805">
        <v>10728711</v>
      </c>
      <c r="J805">
        <v>10491427</v>
      </c>
      <c r="K805" s="3">
        <v>0.97788299999999995</v>
      </c>
      <c r="L805">
        <v>5476382</v>
      </c>
      <c r="M805" s="3">
        <v>0.51044199999999995</v>
      </c>
      <c r="N805">
        <v>5252329</v>
      </c>
      <c r="O805" s="3">
        <v>0.48955799999999999</v>
      </c>
      <c r="P805">
        <v>0</v>
      </c>
      <c r="Q805" s="3">
        <v>0</v>
      </c>
      <c r="R805">
        <v>0</v>
      </c>
      <c r="S805" s="11">
        <v>1</v>
      </c>
      <c r="T805">
        <v>10439296</v>
      </c>
      <c r="U805" s="3">
        <v>0.973024</v>
      </c>
      <c r="V805">
        <v>5378614</v>
      </c>
      <c r="W805">
        <v>5350097</v>
      </c>
      <c r="X805">
        <v>52131</v>
      </c>
      <c r="Y805" s="3">
        <v>4.8590200000000004E-3</v>
      </c>
      <c r="Z805">
        <v>5975.06</v>
      </c>
      <c r="AA805">
        <v>53</v>
      </c>
    </row>
    <row r="806" spans="1:27" x14ac:dyDescent="0.3">
      <c r="A806" t="s">
        <v>256</v>
      </c>
      <c r="B806" t="s">
        <v>253</v>
      </c>
      <c r="C806" t="s">
        <v>140</v>
      </c>
      <c r="D806" t="s">
        <v>15</v>
      </c>
      <c r="E806" t="s">
        <v>306</v>
      </c>
      <c r="F806" t="s">
        <v>83</v>
      </c>
      <c r="G806">
        <v>1</v>
      </c>
      <c r="H806" t="s">
        <v>313</v>
      </c>
      <c r="I806">
        <v>9913455</v>
      </c>
      <c r="J806">
        <v>9695360</v>
      </c>
      <c r="K806" s="3">
        <v>0.97799999999999998</v>
      </c>
      <c r="L806">
        <v>5059921</v>
      </c>
      <c r="M806" s="3">
        <v>0.510409</v>
      </c>
      <c r="N806">
        <v>4853534</v>
      </c>
      <c r="O806" s="3">
        <v>0.489591</v>
      </c>
      <c r="P806">
        <v>0</v>
      </c>
      <c r="Q806" s="3">
        <v>0</v>
      </c>
      <c r="R806">
        <v>0</v>
      </c>
      <c r="S806" s="11">
        <v>1</v>
      </c>
      <c r="T806">
        <v>9640705</v>
      </c>
      <c r="U806" s="3">
        <v>0.97248699999999999</v>
      </c>
      <c r="V806">
        <v>4969385</v>
      </c>
      <c r="W806">
        <v>4944070</v>
      </c>
      <c r="X806">
        <v>54655</v>
      </c>
      <c r="Y806" s="3">
        <v>5.5132100000000002E-3</v>
      </c>
      <c r="Z806">
        <v>6658.23</v>
      </c>
      <c r="AA806">
        <v>51</v>
      </c>
    </row>
    <row r="807" spans="1:27" x14ac:dyDescent="0.3">
      <c r="A807" t="s">
        <v>256</v>
      </c>
      <c r="B807" t="s">
        <v>253</v>
      </c>
      <c r="C807" t="s">
        <v>43</v>
      </c>
      <c r="D807" t="s">
        <v>15</v>
      </c>
      <c r="E807" t="s">
        <v>306</v>
      </c>
      <c r="F807" t="s">
        <v>161</v>
      </c>
      <c r="G807">
        <v>2</v>
      </c>
      <c r="H807" t="s">
        <v>313</v>
      </c>
      <c r="I807">
        <v>25408890</v>
      </c>
      <c r="J807">
        <v>24856197</v>
      </c>
      <c r="K807" s="3">
        <v>0.97824800000000001</v>
      </c>
      <c r="L807">
        <v>12990748</v>
      </c>
      <c r="M807" s="3">
        <v>0.51126799999999994</v>
      </c>
      <c r="N807">
        <v>12418142</v>
      </c>
      <c r="O807" s="3">
        <v>0.488732</v>
      </c>
      <c r="P807">
        <v>0</v>
      </c>
      <c r="Q807" s="3">
        <v>0</v>
      </c>
      <c r="R807">
        <v>0</v>
      </c>
      <c r="S807" s="11">
        <v>1</v>
      </c>
      <c r="T807">
        <v>24724617</v>
      </c>
      <c r="U807" s="3">
        <v>0.97306899999999996</v>
      </c>
      <c r="V807">
        <v>12668801</v>
      </c>
      <c r="W807">
        <v>12740089</v>
      </c>
      <c r="X807">
        <v>131580</v>
      </c>
      <c r="Y807" s="3">
        <v>5.1784999999999999E-3</v>
      </c>
      <c r="Z807">
        <v>3753.84</v>
      </c>
      <c r="AA807">
        <v>45</v>
      </c>
    </row>
    <row r="808" spans="1:27" x14ac:dyDescent="0.3">
      <c r="A808" t="s">
        <v>256</v>
      </c>
      <c r="B808" t="s">
        <v>253</v>
      </c>
      <c r="C808" t="s">
        <v>140</v>
      </c>
      <c r="D808" t="s">
        <v>20</v>
      </c>
      <c r="E808" t="s">
        <v>307</v>
      </c>
      <c r="F808" t="s">
        <v>85</v>
      </c>
      <c r="G808">
        <v>1</v>
      </c>
      <c r="H808" t="s">
        <v>313</v>
      </c>
      <c r="I808">
        <v>10185295</v>
      </c>
      <c r="J808">
        <v>9964404</v>
      </c>
      <c r="K808" s="3">
        <v>0.97831299999999999</v>
      </c>
      <c r="L808">
        <v>5196337</v>
      </c>
      <c r="M808" s="3">
        <v>0.51017999999999997</v>
      </c>
      <c r="N808">
        <v>4988958</v>
      </c>
      <c r="O808" s="3">
        <v>0.48981999999999998</v>
      </c>
      <c r="P808">
        <v>0</v>
      </c>
      <c r="Q808" s="3">
        <v>0</v>
      </c>
      <c r="R808">
        <v>0</v>
      </c>
      <c r="S808" s="11">
        <v>1</v>
      </c>
      <c r="T808">
        <v>9914580</v>
      </c>
      <c r="U808" s="3">
        <v>0.97342099999999998</v>
      </c>
      <c r="V808">
        <v>5101834</v>
      </c>
      <c r="W808">
        <v>5083461</v>
      </c>
      <c r="X808">
        <v>49824</v>
      </c>
      <c r="Y808" s="3">
        <v>4.8917600000000002E-3</v>
      </c>
      <c r="Z808">
        <v>5520.09</v>
      </c>
      <c r="AA808">
        <v>50</v>
      </c>
    </row>
    <row r="809" spans="1:27" x14ac:dyDescent="0.3">
      <c r="A809" t="s">
        <v>256</v>
      </c>
      <c r="B809" t="s">
        <v>253</v>
      </c>
      <c r="C809" t="s">
        <v>140</v>
      </c>
      <c r="D809" t="s">
        <v>20</v>
      </c>
      <c r="E809" t="s">
        <v>307</v>
      </c>
      <c r="F809" t="s">
        <v>156</v>
      </c>
      <c r="G809">
        <v>2</v>
      </c>
      <c r="H809" t="s">
        <v>313</v>
      </c>
      <c r="I809">
        <v>26351192</v>
      </c>
      <c r="J809">
        <v>25783282</v>
      </c>
      <c r="K809" s="3">
        <v>0.97844799999999998</v>
      </c>
      <c r="L809">
        <v>13472511</v>
      </c>
      <c r="M809" s="3">
        <v>0.51126799999999994</v>
      </c>
      <c r="N809">
        <v>12878681</v>
      </c>
      <c r="O809" s="3">
        <v>0.488732</v>
      </c>
      <c r="P809">
        <v>0</v>
      </c>
      <c r="Q809" s="3">
        <v>0</v>
      </c>
      <c r="R809">
        <v>0</v>
      </c>
      <c r="S809" s="11">
        <v>1</v>
      </c>
      <c r="T809">
        <v>25640486</v>
      </c>
      <c r="U809" s="3">
        <v>0.97302900000000003</v>
      </c>
      <c r="V809">
        <v>13126749</v>
      </c>
      <c r="W809">
        <v>13224443</v>
      </c>
      <c r="X809">
        <v>142796</v>
      </c>
      <c r="Y809" s="3">
        <v>5.4189599999999996E-3</v>
      </c>
      <c r="Z809">
        <v>3935.84</v>
      </c>
      <c r="AA809">
        <v>49</v>
      </c>
    </row>
    <row r="810" spans="1:27" x14ac:dyDescent="0.3">
      <c r="A810" t="s">
        <v>256</v>
      </c>
      <c r="B810" t="s">
        <v>253</v>
      </c>
      <c r="C810" t="s">
        <v>43</v>
      </c>
      <c r="D810" t="s">
        <v>15</v>
      </c>
      <c r="E810" t="s">
        <v>306</v>
      </c>
      <c r="F810" t="s">
        <v>162</v>
      </c>
      <c r="G810">
        <v>2</v>
      </c>
      <c r="H810" t="s">
        <v>313</v>
      </c>
      <c r="I810">
        <v>48831737</v>
      </c>
      <c r="J810">
        <v>47839134</v>
      </c>
      <c r="K810" s="3">
        <v>0.97967300000000002</v>
      </c>
      <c r="L810">
        <v>24930170</v>
      </c>
      <c r="M810" s="3">
        <v>0.51053199999999999</v>
      </c>
      <c r="N810">
        <v>23901567</v>
      </c>
      <c r="O810" s="3">
        <v>0.48946800000000001</v>
      </c>
      <c r="P810">
        <v>0</v>
      </c>
      <c r="Q810" s="3">
        <v>0</v>
      </c>
      <c r="R810">
        <v>0</v>
      </c>
      <c r="S810" s="11">
        <v>1</v>
      </c>
      <c r="T810">
        <v>47591121</v>
      </c>
      <c r="U810" s="3">
        <v>0.97459399999999996</v>
      </c>
      <c r="V810">
        <v>24333513</v>
      </c>
      <c r="W810">
        <v>24498224</v>
      </c>
      <c r="X810">
        <v>248013</v>
      </c>
      <c r="Y810" s="3">
        <v>5.0789299999999997E-3</v>
      </c>
      <c r="Z810">
        <v>4610.16</v>
      </c>
      <c r="AA810">
        <v>49</v>
      </c>
    </row>
    <row r="811" spans="1:27" x14ac:dyDescent="0.3">
      <c r="A811" t="s">
        <v>256</v>
      </c>
      <c r="B811" t="s">
        <v>253</v>
      </c>
      <c r="C811" t="s">
        <v>140</v>
      </c>
      <c r="D811" t="s">
        <v>10</v>
      </c>
      <c r="E811" t="s">
        <v>305</v>
      </c>
      <c r="F811" t="s">
        <v>152</v>
      </c>
      <c r="G811">
        <v>2</v>
      </c>
      <c r="H811" t="s">
        <v>313</v>
      </c>
      <c r="I811">
        <v>39868011</v>
      </c>
      <c r="J811">
        <v>39058954</v>
      </c>
      <c r="K811" s="3">
        <v>0.97970599999999997</v>
      </c>
      <c r="L811">
        <v>20354370</v>
      </c>
      <c r="M811" s="3">
        <v>0.510544</v>
      </c>
      <c r="N811">
        <v>19513641</v>
      </c>
      <c r="O811" s="3">
        <v>0.489456</v>
      </c>
      <c r="P811">
        <v>0</v>
      </c>
      <c r="Q811" s="3">
        <v>0</v>
      </c>
      <c r="R811">
        <v>0</v>
      </c>
      <c r="S811" s="11">
        <v>1</v>
      </c>
      <c r="T811">
        <v>38848637</v>
      </c>
      <c r="U811" s="3">
        <v>0.97443100000000005</v>
      </c>
      <c r="V811">
        <v>19874408</v>
      </c>
      <c r="W811">
        <v>19993603</v>
      </c>
      <c r="X811">
        <v>210317</v>
      </c>
      <c r="Y811" s="3">
        <v>5.2753299999999999E-3</v>
      </c>
      <c r="Z811">
        <v>4210.93</v>
      </c>
      <c r="AA811">
        <v>51</v>
      </c>
    </row>
    <row r="812" spans="1:27" x14ac:dyDescent="0.3">
      <c r="A812" t="s">
        <v>256</v>
      </c>
      <c r="B812" t="s">
        <v>253</v>
      </c>
      <c r="C812" t="s">
        <v>140</v>
      </c>
      <c r="D812" t="s">
        <v>10</v>
      </c>
      <c r="E812" t="s">
        <v>305</v>
      </c>
      <c r="F812" t="s">
        <v>151</v>
      </c>
      <c r="G812">
        <v>2</v>
      </c>
      <c r="H812" t="s">
        <v>313</v>
      </c>
      <c r="I812">
        <v>5239992</v>
      </c>
      <c r="J812">
        <v>5137288</v>
      </c>
      <c r="K812" s="3">
        <v>0.98040000000000005</v>
      </c>
      <c r="L812">
        <v>2671381</v>
      </c>
      <c r="M812" s="3">
        <v>0.50980599999999998</v>
      </c>
      <c r="N812">
        <v>2568611</v>
      </c>
      <c r="O812" s="3">
        <v>0.49019400000000002</v>
      </c>
      <c r="P812">
        <v>0</v>
      </c>
      <c r="Q812" s="3">
        <v>0</v>
      </c>
      <c r="R812">
        <v>0</v>
      </c>
      <c r="S812" s="11">
        <v>1</v>
      </c>
      <c r="T812">
        <v>5110017</v>
      </c>
      <c r="U812" s="3">
        <v>0.97519599999999995</v>
      </c>
      <c r="V812">
        <v>2610961</v>
      </c>
      <c r="W812">
        <v>2629031</v>
      </c>
      <c r="X812">
        <v>27271</v>
      </c>
      <c r="Y812" s="3">
        <v>5.2043999999999997E-3</v>
      </c>
      <c r="Z812">
        <v>3907.25</v>
      </c>
      <c r="AA812">
        <v>46</v>
      </c>
    </row>
    <row r="813" spans="1:27" x14ac:dyDescent="0.3">
      <c r="A813" t="s">
        <v>256</v>
      </c>
      <c r="B813" t="s">
        <v>253</v>
      </c>
      <c r="C813" t="s">
        <v>140</v>
      </c>
      <c r="D813" t="s">
        <v>10</v>
      </c>
      <c r="E813" t="s">
        <v>305</v>
      </c>
      <c r="F813" t="s">
        <v>80</v>
      </c>
      <c r="G813">
        <v>1</v>
      </c>
      <c r="H813" t="s">
        <v>313</v>
      </c>
      <c r="I813">
        <v>10032277</v>
      </c>
      <c r="J813">
        <v>9840305</v>
      </c>
      <c r="K813" s="3">
        <v>0.98086499999999999</v>
      </c>
      <c r="L813">
        <v>5106092</v>
      </c>
      <c r="M813" s="3">
        <v>0.50896600000000003</v>
      </c>
      <c r="N813">
        <v>4926185</v>
      </c>
      <c r="O813" s="3">
        <v>0.49103400000000003</v>
      </c>
      <c r="P813">
        <v>0</v>
      </c>
      <c r="Q813" s="3">
        <v>0</v>
      </c>
      <c r="R813">
        <v>0</v>
      </c>
      <c r="S813" s="11">
        <v>1</v>
      </c>
      <c r="T813">
        <v>9795045</v>
      </c>
      <c r="U813" s="3">
        <v>0.97635300000000003</v>
      </c>
      <c r="V813">
        <v>5026250</v>
      </c>
      <c r="W813">
        <v>5006027</v>
      </c>
      <c r="X813">
        <v>45260</v>
      </c>
      <c r="Y813" s="3">
        <v>4.5114400000000002E-3</v>
      </c>
      <c r="Z813">
        <v>6462.43</v>
      </c>
      <c r="AA813">
        <v>51</v>
      </c>
    </row>
    <row r="814" spans="1:27" x14ac:dyDescent="0.3">
      <c r="A814" t="s">
        <v>256</v>
      </c>
      <c r="B814" t="s">
        <v>253</v>
      </c>
      <c r="C814" t="s">
        <v>140</v>
      </c>
      <c r="D814" t="s">
        <v>34</v>
      </c>
      <c r="E814" t="s">
        <v>309</v>
      </c>
      <c r="F814" t="s">
        <v>94</v>
      </c>
      <c r="G814">
        <v>1</v>
      </c>
      <c r="H814" t="s">
        <v>313</v>
      </c>
      <c r="I814">
        <v>9980985</v>
      </c>
      <c r="J814">
        <v>9796945</v>
      </c>
      <c r="K814" s="3">
        <v>0.98156100000000002</v>
      </c>
      <c r="L814">
        <v>5076490</v>
      </c>
      <c r="M814" s="3">
        <v>0.50861599999999996</v>
      </c>
      <c r="N814">
        <v>4904495</v>
      </c>
      <c r="O814" s="3">
        <v>0.49138399999999999</v>
      </c>
      <c r="P814">
        <v>0</v>
      </c>
      <c r="Q814" s="3">
        <v>0</v>
      </c>
      <c r="R814">
        <v>0</v>
      </c>
      <c r="S814" s="11">
        <v>1</v>
      </c>
      <c r="T814">
        <v>9751326</v>
      </c>
      <c r="U814" s="3">
        <v>0.97699000000000003</v>
      </c>
      <c r="V814">
        <v>5003501</v>
      </c>
      <c r="W814">
        <v>4977484</v>
      </c>
      <c r="X814">
        <v>45619</v>
      </c>
      <c r="Y814" s="3">
        <v>4.5705900000000002E-3</v>
      </c>
      <c r="Z814">
        <v>8045.18</v>
      </c>
      <c r="AA814">
        <v>56</v>
      </c>
    </row>
    <row r="815" spans="1:27" x14ac:dyDescent="0.3">
      <c r="A815" t="s">
        <v>256</v>
      </c>
      <c r="B815" t="s">
        <v>253</v>
      </c>
      <c r="C815" t="s">
        <v>43</v>
      </c>
      <c r="D815" t="s">
        <v>25</v>
      </c>
      <c r="E815" t="s">
        <v>308</v>
      </c>
      <c r="F815" t="s">
        <v>103</v>
      </c>
      <c r="G815">
        <v>1</v>
      </c>
      <c r="H815" t="s">
        <v>313</v>
      </c>
      <c r="I815">
        <v>10232846</v>
      </c>
      <c r="J815">
        <v>10045942</v>
      </c>
      <c r="K815" s="3">
        <v>0.98173500000000002</v>
      </c>
      <c r="L815">
        <v>5204413</v>
      </c>
      <c r="M815" s="3">
        <v>0.50859900000000002</v>
      </c>
      <c r="N815">
        <v>5028433</v>
      </c>
      <c r="O815" s="3">
        <v>0.49140099999999998</v>
      </c>
      <c r="P815">
        <v>0</v>
      </c>
      <c r="Q815" s="3">
        <v>0</v>
      </c>
      <c r="R815">
        <v>0</v>
      </c>
      <c r="S815" s="11">
        <v>1</v>
      </c>
      <c r="T815">
        <v>10002135</v>
      </c>
      <c r="U815" s="3">
        <v>0.97745400000000005</v>
      </c>
      <c r="V815">
        <v>5129733</v>
      </c>
      <c r="W815">
        <v>5103113</v>
      </c>
      <c r="X815">
        <v>43807</v>
      </c>
      <c r="Y815" s="3">
        <v>4.28102E-3</v>
      </c>
      <c r="Z815">
        <v>5672.66</v>
      </c>
      <c r="AA815">
        <v>52</v>
      </c>
    </row>
    <row r="816" spans="1:27" x14ac:dyDescent="0.3">
      <c r="A816" t="s">
        <v>256</v>
      </c>
      <c r="B816" t="s">
        <v>253</v>
      </c>
      <c r="C816" t="s">
        <v>140</v>
      </c>
      <c r="D816" t="s">
        <v>25</v>
      </c>
      <c r="E816" t="s">
        <v>308</v>
      </c>
      <c r="F816" t="s">
        <v>92</v>
      </c>
      <c r="G816">
        <v>1</v>
      </c>
      <c r="H816" t="s">
        <v>313</v>
      </c>
      <c r="I816">
        <v>10180940</v>
      </c>
      <c r="J816">
        <v>9996396</v>
      </c>
      <c r="K816" s="3">
        <v>0.98187400000000002</v>
      </c>
      <c r="L816">
        <v>5178645</v>
      </c>
      <c r="M816" s="3">
        <v>0.50866100000000003</v>
      </c>
      <c r="N816">
        <v>5002295</v>
      </c>
      <c r="O816" s="3">
        <v>0.49133900000000003</v>
      </c>
      <c r="P816">
        <v>0</v>
      </c>
      <c r="Q816" s="3">
        <v>0</v>
      </c>
      <c r="R816">
        <v>0</v>
      </c>
      <c r="S816" s="11">
        <v>1</v>
      </c>
      <c r="T816">
        <v>9949786</v>
      </c>
      <c r="U816" s="3">
        <v>0.97729500000000002</v>
      </c>
      <c r="V816">
        <v>5099420</v>
      </c>
      <c r="W816">
        <v>5081520</v>
      </c>
      <c r="X816">
        <v>46610</v>
      </c>
      <c r="Y816" s="3">
        <v>4.5781600000000004E-3</v>
      </c>
      <c r="Z816">
        <v>6886.44</v>
      </c>
      <c r="AA816">
        <v>56</v>
      </c>
    </row>
    <row r="817" spans="1:27" x14ac:dyDescent="0.3">
      <c r="A817" t="s">
        <v>256</v>
      </c>
      <c r="B817" t="s">
        <v>253</v>
      </c>
      <c r="C817" t="s">
        <v>43</v>
      </c>
      <c r="D817" t="s">
        <v>34</v>
      </c>
      <c r="E817" t="s">
        <v>309</v>
      </c>
      <c r="F817" t="s">
        <v>106</v>
      </c>
      <c r="G817">
        <v>1</v>
      </c>
      <c r="H817" t="s">
        <v>313</v>
      </c>
      <c r="I817">
        <v>10007367</v>
      </c>
      <c r="J817">
        <v>9830053</v>
      </c>
      <c r="K817" s="3">
        <v>0.98228199999999999</v>
      </c>
      <c r="L817">
        <v>5086827</v>
      </c>
      <c r="M817" s="3">
        <v>0.50830799999999998</v>
      </c>
      <c r="N817">
        <v>4920540</v>
      </c>
      <c r="O817" s="3">
        <v>0.49169200000000002</v>
      </c>
      <c r="P817">
        <v>0</v>
      </c>
      <c r="Q817" s="3">
        <v>0</v>
      </c>
      <c r="R817">
        <v>0</v>
      </c>
      <c r="S817" s="11">
        <v>1</v>
      </c>
      <c r="T817">
        <v>9788559</v>
      </c>
      <c r="U817" s="3">
        <v>0.97813499999999998</v>
      </c>
      <c r="V817">
        <v>5014288</v>
      </c>
      <c r="W817">
        <v>4993079</v>
      </c>
      <c r="X817">
        <v>41494</v>
      </c>
      <c r="Y817" s="3">
        <v>4.14635E-3</v>
      </c>
      <c r="Z817">
        <v>7560.19</v>
      </c>
      <c r="AA817">
        <v>56</v>
      </c>
    </row>
    <row r="818" spans="1:27" x14ac:dyDescent="0.3">
      <c r="A818" t="s">
        <v>256</v>
      </c>
      <c r="B818" t="s">
        <v>253</v>
      </c>
      <c r="C818" t="s">
        <v>43</v>
      </c>
      <c r="D818" t="s">
        <v>34</v>
      </c>
      <c r="E818" t="s">
        <v>309</v>
      </c>
      <c r="F818" t="s">
        <v>105</v>
      </c>
      <c r="G818">
        <v>1</v>
      </c>
      <c r="H818" t="s">
        <v>313</v>
      </c>
      <c r="I818">
        <v>10205389</v>
      </c>
      <c r="J818">
        <v>10025537</v>
      </c>
      <c r="K818" s="3">
        <v>0.98237699999999994</v>
      </c>
      <c r="L818">
        <v>5186196</v>
      </c>
      <c r="M818" s="3">
        <v>0.50818200000000002</v>
      </c>
      <c r="N818">
        <v>5019193</v>
      </c>
      <c r="O818" s="3">
        <v>0.49181799999999998</v>
      </c>
      <c r="P818">
        <v>0</v>
      </c>
      <c r="Q818" s="3">
        <v>0</v>
      </c>
      <c r="R818">
        <v>0</v>
      </c>
      <c r="S818" s="11">
        <v>1</v>
      </c>
      <c r="T818">
        <v>9978408</v>
      </c>
      <c r="U818" s="3">
        <v>0.97775900000000004</v>
      </c>
      <c r="V818">
        <v>5111949</v>
      </c>
      <c r="W818">
        <v>5093440</v>
      </c>
      <c r="X818">
        <v>47129</v>
      </c>
      <c r="Y818" s="3">
        <v>4.6180500000000003E-3</v>
      </c>
      <c r="Z818">
        <v>8543.17</v>
      </c>
      <c r="AA818">
        <v>59</v>
      </c>
    </row>
    <row r="819" spans="1:27" x14ac:dyDescent="0.3">
      <c r="A819" t="s">
        <v>256</v>
      </c>
      <c r="B819" t="s">
        <v>253</v>
      </c>
      <c r="C819" t="s">
        <v>43</v>
      </c>
      <c r="D819" t="s">
        <v>25</v>
      </c>
      <c r="E819" t="s">
        <v>308</v>
      </c>
      <c r="F819" t="s">
        <v>101</v>
      </c>
      <c r="G819">
        <v>1</v>
      </c>
      <c r="H819" t="s">
        <v>313</v>
      </c>
      <c r="I819">
        <v>9650067</v>
      </c>
      <c r="J819">
        <v>9483650</v>
      </c>
      <c r="K819" s="3">
        <v>0.98275500000000005</v>
      </c>
      <c r="L819">
        <v>4903570</v>
      </c>
      <c r="M819" s="3">
        <v>0.50813799999999998</v>
      </c>
      <c r="N819">
        <v>4746497</v>
      </c>
      <c r="O819" s="3">
        <v>0.49186200000000002</v>
      </c>
      <c r="P819">
        <v>0</v>
      </c>
      <c r="Q819" s="3">
        <v>0</v>
      </c>
      <c r="R819">
        <v>0</v>
      </c>
      <c r="S819" s="11">
        <v>1</v>
      </c>
      <c r="T819">
        <v>9444585</v>
      </c>
      <c r="U819" s="3">
        <v>0.97870699999999999</v>
      </c>
      <c r="V819">
        <v>4833088</v>
      </c>
      <c r="W819">
        <v>4816979</v>
      </c>
      <c r="X819">
        <v>39065</v>
      </c>
      <c r="Y819" s="3">
        <v>4.0481600000000003E-3</v>
      </c>
      <c r="Z819">
        <v>7263.28</v>
      </c>
      <c r="AA819">
        <v>61</v>
      </c>
    </row>
    <row r="820" spans="1:27" x14ac:dyDescent="0.3">
      <c r="A820" t="s">
        <v>256</v>
      </c>
      <c r="B820" t="s">
        <v>253</v>
      </c>
      <c r="C820" t="s">
        <v>140</v>
      </c>
      <c r="D820" t="s">
        <v>34</v>
      </c>
      <c r="E820" t="s">
        <v>309</v>
      </c>
      <c r="F820" t="s">
        <v>93</v>
      </c>
      <c r="G820">
        <v>1</v>
      </c>
      <c r="H820" t="s">
        <v>313</v>
      </c>
      <c r="I820">
        <v>12657732</v>
      </c>
      <c r="J820">
        <v>12440360</v>
      </c>
      <c r="K820" s="3">
        <v>0.98282700000000001</v>
      </c>
      <c r="L820">
        <v>6431604</v>
      </c>
      <c r="M820" s="3">
        <v>0.50811700000000004</v>
      </c>
      <c r="N820">
        <v>6226128</v>
      </c>
      <c r="O820" s="3">
        <v>0.49188300000000001</v>
      </c>
      <c r="P820">
        <v>0</v>
      </c>
      <c r="Q820" s="3">
        <v>0</v>
      </c>
      <c r="R820">
        <v>0</v>
      </c>
      <c r="S820" s="11">
        <v>1</v>
      </c>
      <c r="T820">
        <v>12374256</v>
      </c>
      <c r="U820" s="3">
        <v>0.97760499999999995</v>
      </c>
      <c r="V820">
        <v>6334402</v>
      </c>
      <c r="W820">
        <v>6323330</v>
      </c>
      <c r="X820">
        <v>66104</v>
      </c>
      <c r="Y820" s="3">
        <v>5.2224200000000002E-3</v>
      </c>
      <c r="Z820">
        <v>8205.06</v>
      </c>
      <c r="AA820">
        <v>60</v>
      </c>
    </row>
    <row r="821" spans="1:27" x14ac:dyDescent="0.3">
      <c r="A821" t="s">
        <v>256</v>
      </c>
      <c r="B821" t="s">
        <v>253</v>
      </c>
      <c r="C821" t="s">
        <v>43</v>
      </c>
      <c r="D821" t="s">
        <v>25</v>
      </c>
      <c r="E821" t="s">
        <v>308</v>
      </c>
      <c r="F821" t="s">
        <v>98</v>
      </c>
      <c r="G821">
        <v>1</v>
      </c>
      <c r="H821" t="s">
        <v>313</v>
      </c>
      <c r="I821">
        <v>10622303</v>
      </c>
      <c r="J821">
        <v>10443095</v>
      </c>
      <c r="K821" s="3">
        <v>0.98312900000000003</v>
      </c>
      <c r="L821">
        <v>5395945</v>
      </c>
      <c r="M821" s="3">
        <v>0.50798299999999996</v>
      </c>
      <c r="N821">
        <v>5226358</v>
      </c>
      <c r="O821" s="3">
        <v>0.49201699999999998</v>
      </c>
      <c r="P821">
        <v>0</v>
      </c>
      <c r="Q821" s="3">
        <v>0</v>
      </c>
      <c r="R821">
        <v>0</v>
      </c>
      <c r="S821" s="11">
        <v>1</v>
      </c>
      <c r="T821">
        <v>10395327</v>
      </c>
      <c r="U821" s="3">
        <v>0.97863199999999995</v>
      </c>
      <c r="V821">
        <v>5322010</v>
      </c>
      <c r="W821">
        <v>5300293</v>
      </c>
      <c r="X821">
        <v>47768</v>
      </c>
      <c r="Y821" s="3">
        <v>4.4969500000000004E-3</v>
      </c>
      <c r="Z821">
        <v>7042.4</v>
      </c>
      <c r="AA821">
        <v>56</v>
      </c>
    </row>
    <row r="822" spans="1:27" x14ac:dyDescent="0.3">
      <c r="A822" t="s">
        <v>256</v>
      </c>
      <c r="B822" t="s">
        <v>253</v>
      </c>
      <c r="C822" t="s">
        <v>140</v>
      </c>
      <c r="D822" t="s">
        <v>25</v>
      </c>
      <c r="E822" t="s">
        <v>308</v>
      </c>
      <c r="F822" t="s">
        <v>91</v>
      </c>
      <c r="G822">
        <v>1</v>
      </c>
      <c r="H822" t="s">
        <v>313</v>
      </c>
      <c r="I822">
        <v>9736219</v>
      </c>
      <c r="J822">
        <v>9575368</v>
      </c>
      <c r="K822" s="3">
        <v>0.98347899999999999</v>
      </c>
      <c r="L822">
        <v>4943934</v>
      </c>
      <c r="M822" s="3">
        <v>0.50778800000000002</v>
      </c>
      <c r="N822">
        <v>4792285</v>
      </c>
      <c r="O822" s="3">
        <v>0.49221199999999998</v>
      </c>
      <c r="P822">
        <v>0</v>
      </c>
      <c r="Q822" s="3">
        <v>0</v>
      </c>
      <c r="R822">
        <v>0</v>
      </c>
      <c r="S822" s="11">
        <v>1</v>
      </c>
      <c r="T822">
        <v>9534568</v>
      </c>
      <c r="U822" s="3">
        <v>0.97928899999999997</v>
      </c>
      <c r="V822">
        <v>4873363</v>
      </c>
      <c r="W822">
        <v>4862856</v>
      </c>
      <c r="X822">
        <v>40800</v>
      </c>
      <c r="Y822" s="3">
        <v>4.1905400000000004E-3</v>
      </c>
      <c r="Z822">
        <v>6060.1</v>
      </c>
      <c r="AA822">
        <v>56</v>
      </c>
    </row>
    <row r="823" spans="1:27" x14ac:dyDescent="0.3">
      <c r="A823" t="s">
        <v>256</v>
      </c>
      <c r="B823" t="s">
        <v>253</v>
      </c>
      <c r="C823" t="s">
        <v>140</v>
      </c>
      <c r="D823" t="s">
        <v>20</v>
      </c>
      <c r="E823" t="s">
        <v>307</v>
      </c>
      <c r="F823" t="s">
        <v>86</v>
      </c>
      <c r="G823">
        <v>1</v>
      </c>
      <c r="H823" t="s">
        <v>313</v>
      </c>
      <c r="I823">
        <v>10303888</v>
      </c>
      <c r="J823">
        <v>10134074</v>
      </c>
      <c r="K823" s="3">
        <v>0.98351900000000003</v>
      </c>
      <c r="L823">
        <v>5231280</v>
      </c>
      <c r="M823" s="3">
        <v>0.50770000000000004</v>
      </c>
      <c r="N823">
        <v>5072608</v>
      </c>
      <c r="O823" s="3">
        <v>0.49230000000000002</v>
      </c>
      <c r="P823">
        <v>0</v>
      </c>
      <c r="Q823" s="3">
        <v>0</v>
      </c>
      <c r="R823">
        <v>0</v>
      </c>
      <c r="S823" s="11">
        <v>1</v>
      </c>
      <c r="T823">
        <v>10085095</v>
      </c>
      <c r="U823" s="3">
        <v>0.97876600000000002</v>
      </c>
      <c r="V823">
        <v>5166177</v>
      </c>
      <c r="W823">
        <v>5137711</v>
      </c>
      <c r="X823">
        <v>48979</v>
      </c>
      <c r="Y823" s="3">
        <v>4.7534500000000002E-3</v>
      </c>
      <c r="Z823">
        <v>7131.9</v>
      </c>
      <c r="AA823">
        <v>55</v>
      </c>
    </row>
    <row r="824" spans="1:27" x14ac:dyDescent="0.3">
      <c r="A824" t="s">
        <v>256</v>
      </c>
      <c r="B824" t="s">
        <v>253</v>
      </c>
      <c r="C824" t="s">
        <v>43</v>
      </c>
      <c r="D824" t="s">
        <v>34</v>
      </c>
      <c r="E824" t="s">
        <v>309</v>
      </c>
      <c r="F824" t="s">
        <v>104</v>
      </c>
      <c r="G824">
        <v>1</v>
      </c>
      <c r="H824" t="s">
        <v>313</v>
      </c>
      <c r="I824">
        <v>9785189</v>
      </c>
      <c r="J824">
        <v>9624316</v>
      </c>
      <c r="K824" s="3">
        <v>0.98355999999999999</v>
      </c>
      <c r="L824">
        <v>4967226</v>
      </c>
      <c r="M824" s="3">
        <v>0.50762700000000005</v>
      </c>
      <c r="N824">
        <v>4817963</v>
      </c>
      <c r="O824" s="3">
        <v>0.49237300000000001</v>
      </c>
      <c r="P824">
        <v>0</v>
      </c>
      <c r="Q824" s="3">
        <v>0</v>
      </c>
      <c r="R824">
        <v>0</v>
      </c>
      <c r="S824" s="11">
        <v>1</v>
      </c>
      <c r="T824">
        <v>9581866</v>
      </c>
      <c r="U824" s="3">
        <v>0.97922100000000001</v>
      </c>
      <c r="V824">
        <v>4904101</v>
      </c>
      <c r="W824">
        <v>4881088</v>
      </c>
      <c r="X824">
        <v>42450</v>
      </c>
      <c r="Y824" s="3">
        <v>4.3381899999999996E-3</v>
      </c>
      <c r="Z824">
        <v>9124.3700000000008</v>
      </c>
      <c r="AA824">
        <v>56</v>
      </c>
    </row>
    <row r="825" spans="1:27" x14ac:dyDescent="0.3">
      <c r="A825" t="s">
        <v>256</v>
      </c>
      <c r="B825" t="s">
        <v>253</v>
      </c>
      <c r="C825" t="s">
        <v>43</v>
      </c>
      <c r="D825" t="s">
        <v>34</v>
      </c>
      <c r="E825" t="s">
        <v>309</v>
      </c>
      <c r="F825" t="s">
        <v>107</v>
      </c>
      <c r="G825">
        <v>1</v>
      </c>
      <c r="H825" t="s">
        <v>313</v>
      </c>
      <c r="I825">
        <v>9905889</v>
      </c>
      <c r="J825">
        <v>9746674</v>
      </c>
      <c r="K825" s="3">
        <v>0.983927</v>
      </c>
      <c r="L825">
        <v>5026999</v>
      </c>
      <c r="M825" s="3">
        <v>0.50747600000000004</v>
      </c>
      <c r="N825">
        <v>4878890</v>
      </c>
      <c r="O825" s="3">
        <v>0.49252400000000002</v>
      </c>
      <c r="P825">
        <v>0</v>
      </c>
      <c r="Q825" s="3">
        <v>0</v>
      </c>
      <c r="R825">
        <v>0</v>
      </c>
      <c r="S825" s="11">
        <v>1</v>
      </c>
      <c r="T825">
        <v>9708917</v>
      </c>
      <c r="U825" s="3">
        <v>0.98011599999999999</v>
      </c>
      <c r="V825">
        <v>4963842</v>
      </c>
      <c r="W825">
        <v>4942047</v>
      </c>
      <c r="X825">
        <v>37757</v>
      </c>
      <c r="Y825" s="3">
        <v>3.8115699999999998E-3</v>
      </c>
      <c r="Z825">
        <v>7626.99</v>
      </c>
      <c r="AA825">
        <v>59</v>
      </c>
    </row>
    <row r="826" spans="1:27" x14ac:dyDescent="0.3">
      <c r="A826" t="s">
        <v>256</v>
      </c>
      <c r="B826" t="s">
        <v>253</v>
      </c>
      <c r="C826" t="s">
        <v>140</v>
      </c>
      <c r="D826" t="s">
        <v>34</v>
      </c>
      <c r="E826" t="s">
        <v>309</v>
      </c>
      <c r="F826" t="s">
        <v>96</v>
      </c>
      <c r="G826">
        <v>1</v>
      </c>
      <c r="H826" t="s">
        <v>313</v>
      </c>
      <c r="I826">
        <v>9449196</v>
      </c>
      <c r="J826">
        <v>9309279</v>
      </c>
      <c r="K826" s="3">
        <v>0.98519299999999999</v>
      </c>
      <c r="L826">
        <v>4789266</v>
      </c>
      <c r="M826" s="3">
        <v>0.50684399999999996</v>
      </c>
      <c r="N826">
        <v>4659930</v>
      </c>
      <c r="O826" s="3">
        <v>0.49315599999999998</v>
      </c>
      <c r="P826">
        <v>0</v>
      </c>
      <c r="Q826" s="3">
        <v>0</v>
      </c>
      <c r="R826">
        <v>0</v>
      </c>
      <c r="S826" s="11">
        <v>1</v>
      </c>
      <c r="T826">
        <v>9275197</v>
      </c>
      <c r="U826" s="3">
        <v>0.98158599999999996</v>
      </c>
      <c r="V826">
        <v>4732666</v>
      </c>
      <c r="W826">
        <v>4716530</v>
      </c>
      <c r="X826">
        <v>34082</v>
      </c>
      <c r="Y826" s="3">
        <v>3.6068699999999999E-3</v>
      </c>
      <c r="Z826">
        <v>6452.17</v>
      </c>
      <c r="AA826">
        <v>60</v>
      </c>
    </row>
    <row r="827" spans="1:27" x14ac:dyDescent="0.3">
      <c r="A827" t="s">
        <v>256</v>
      </c>
      <c r="B827" t="s">
        <v>253</v>
      </c>
      <c r="C827" t="s">
        <v>140</v>
      </c>
      <c r="D827" t="s">
        <v>25</v>
      </c>
      <c r="E827" t="s">
        <v>308</v>
      </c>
      <c r="F827" t="s">
        <v>90</v>
      </c>
      <c r="G827">
        <v>1</v>
      </c>
      <c r="H827" t="s">
        <v>313</v>
      </c>
      <c r="I827">
        <v>11431756</v>
      </c>
      <c r="J827">
        <v>11263059</v>
      </c>
      <c r="K827" s="3">
        <v>0.98524299999999998</v>
      </c>
      <c r="L827">
        <v>5795028</v>
      </c>
      <c r="M827" s="3">
        <v>0.50692400000000004</v>
      </c>
      <c r="N827">
        <v>5636728</v>
      </c>
      <c r="O827" s="3">
        <v>0.49307600000000001</v>
      </c>
      <c r="P827">
        <v>0</v>
      </c>
      <c r="Q827" s="3">
        <v>0</v>
      </c>
      <c r="R827">
        <v>0</v>
      </c>
      <c r="S827" s="11">
        <v>1</v>
      </c>
      <c r="T827">
        <v>11213306</v>
      </c>
      <c r="U827" s="3">
        <v>0.98089099999999996</v>
      </c>
      <c r="V827">
        <v>5730053</v>
      </c>
      <c r="W827">
        <v>5701703</v>
      </c>
      <c r="X827">
        <v>49753</v>
      </c>
      <c r="Y827" s="3">
        <v>4.3521699999999998E-3</v>
      </c>
      <c r="Z827">
        <v>7682.74</v>
      </c>
      <c r="AA827">
        <v>60</v>
      </c>
    </row>
    <row r="828" spans="1:27" x14ac:dyDescent="0.3">
      <c r="A828" t="s">
        <v>256</v>
      </c>
      <c r="B828" t="s">
        <v>253</v>
      </c>
      <c r="C828" t="s">
        <v>140</v>
      </c>
      <c r="D828" t="s">
        <v>34</v>
      </c>
      <c r="E828" t="s">
        <v>309</v>
      </c>
      <c r="F828" t="s">
        <v>95</v>
      </c>
      <c r="G828">
        <v>1</v>
      </c>
      <c r="H828" t="s">
        <v>313</v>
      </c>
      <c r="I828">
        <v>12439940</v>
      </c>
      <c r="J828">
        <v>12259323</v>
      </c>
      <c r="K828" s="3">
        <v>0.98548100000000005</v>
      </c>
      <c r="L828">
        <v>6304486</v>
      </c>
      <c r="M828" s="3">
        <v>0.50679399999999997</v>
      </c>
      <c r="N828">
        <v>6135454</v>
      </c>
      <c r="O828" s="3">
        <v>0.49320599999999998</v>
      </c>
      <c r="P828">
        <v>0</v>
      </c>
      <c r="Q828" s="3">
        <v>0</v>
      </c>
      <c r="R828">
        <v>0</v>
      </c>
      <c r="S828" s="11">
        <v>1</v>
      </c>
      <c r="T828">
        <v>12210530</v>
      </c>
      <c r="U828" s="3">
        <v>0.98155899999999996</v>
      </c>
      <c r="V828">
        <v>6237511</v>
      </c>
      <c r="W828">
        <v>6202429</v>
      </c>
      <c r="X828">
        <v>48793</v>
      </c>
      <c r="Y828" s="3">
        <v>3.9222900000000002E-3</v>
      </c>
      <c r="Z828">
        <v>7487.44</v>
      </c>
      <c r="AA828">
        <v>57</v>
      </c>
    </row>
    <row r="829" spans="1:27" x14ac:dyDescent="0.3">
      <c r="A829" t="s">
        <v>256</v>
      </c>
      <c r="B829" t="s">
        <v>253</v>
      </c>
      <c r="C829" t="s">
        <v>140</v>
      </c>
      <c r="D829" t="s">
        <v>25</v>
      </c>
      <c r="E829" t="s">
        <v>308</v>
      </c>
      <c r="F829" t="s">
        <v>89</v>
      </c>
      <c r="G829">
        <v>1</v>
      </c>
      <c r="H829" t="s">
        <v>313</v>
      </c>
      <c r="I829">
        <v>9638844</v>
      </c>
      <c r="J829">
        <v>9498903</v>
      </c>
      <c r="K829" s="3">
        <v>0.98548199999999997</v>
      </c>
      <c r="L829">
        <v>4884838</v>
      </c>
      <c r="M829" s="3">
        <v>0.50678699999999999</v>
      </c>
      <c r="N829">
        <v>4754006</v>
      </c>
      <c r="O829" s="3">
        <v>0.49321300000000001</v>
      </c>
      <c r="P829">
        <v>0</v>
      </c>
      <c r="Q829" s="3">
        <v>0</v>
      </c>
      <c r="R829">
        <v>0</v>
      </c>
      <c r="S829" s="11">
        <v>1</v>
      </c>
      <c r="T829">
        <v>9465421</v>
      </c>
      <c r="U829" s="3">
        <v>0.98200799999999999</v>
      </c>
      <c r="V829">
        <v>4828399</v>
      </c>
      <c r="W829">
        <v>4810445</v>
      </c>
      <c r="X829">
        <v>33482</v>
      </c>
      <c r="Y829" s="3">
        <v>3.47365E-3</v>
      </c>
      <c r="Z829">
        <v>6362.9</v>
      </c>
      <c r="AA829">
        <v>60</v>
      </c>
    </row>
    <row r="830" spans="1:27" x14ac:dyDescent="0.3">
      <c r="A830" t="s">
        <v>256</v>
      </c>
      <c r="B830" t="s">
        <v>253</v>
      </c>
      <c r="C830" t="s">
        <v>43</v>
      </c>
      <c r="D830" t="s">
        <v>25</v>
      </c>
      <c r="E830" t="s">
        <v>308</v>
      </c>
      <c r="F830" t="s">
        <v>102</v>
      </c>
      <c r="G830">
        <v>1</v>
      </c>
      <c r="H830" t="s">
        <v>313</v>
      </c>
      <c r="I830">
        <v>14936235</v>
      </c>
      <c r="J830">
        <v>14738018</v>
      </c>
      <c r="K830" s="3">
        <v>0.98672899999999997</v>
      </c>
      <c r="L830">
        <v>7560714</v>
      </c>
      <c r="M830" s="3">
        <v>0.50619899999999995</v>
      </c>
      <c r="N830">
        <v>7375521</v>
      </c>
      <c r="O830" s="3">
        <v>0.49380099999999999</v>
      </c>
      <c r="P830">
        <v>0</v>
      </c>
      <c r="Q830" s="3">
        <v>0</v>
      </c>
      <c r="R830">
        <v>0</v>
      </c>
      <c r="S830" s="11">
        <v>1</v>
      </c>
      <c r="T830">
        <v>14680705</v>
      </c>
      <c r="U830" s="3">
        <v>0.98289199999999999</v>
      </c>
      <c r="V830">
        <v>7481188</v>
      </c>
      <c r="W830">
        <v>7455047</v>
      </c>
      <c r="X830">
        <v>57313</v>
      </c>
      <c r="Y830" s="3">
        <v>3.8371799999999999E-3</v>
      </c>
      <c r="Z830">
        <v>7432.85</v>
      </c>
      <c r="AA830">
        <v>62</v>
      </c>
    </row>
    <row r="831" spans="1:27" x14ac:dyDescent="0.3">
      <c r="A831" t="s">
        <v>256</v>
      </c>
      <c r="B831" t="s">
        <v>142</v>
      </c>
      <c r="C831" t="s">
        <v>140</v>
      </c>
      <c r="D831" t="s">
        <v>15</v>
      </c>
      <c r="E831" t="s">
        <v>306</v>
      </c>
      <c r="F831" t="s">
        <v>82</v>
      </c>
      <c r="G831">
        <v>1</v>
      </c>
      <c r="H831" t="s">
        <v>313</v>
      </c>
      <c r="I831">
        <v>5305388</v>
      </c>
      <c r="J831">
        <v>2223477</v>
      </c>
      <c r="K831" s="3">
        <v>0.41899999999999998</v>
      </c>
    </row>
    <row r="832" spans="1:27" x14ac:dyDescent="0.3">
      <c r="A832" t="s">
        <v>256</v>
      </c>
      <c r="B832" t="s">
        <v>142</v>
      </c>
      <c r="C832" t="s">
        <v>43</v>
      </c>
      <c r="D832" t="s">
        <v>10</v>
      </c>
      <c r="E832" t="s">
        <v>305</v>
      </c>
      <c r="F832" t="s">
        <v>159</v>
      </c>
      <c r="G832">
        <v>2</v>
      </c>
      <c r="H832" t="s">
        <v>313</v>
      </c>
      <c r="I832">
        <v>10365606</v>
      </c>
      <c r="J832">
        <v>4834516</v>
      </c>
      <c r="K832" s="3">
        <v>0.46600000000000003</v>
      </c>
    </row>
    <row r="833" spans="1:11" x14ac:dyDescent="0.3">
      <c r="A833" t="s">
        <v>256</v>
      </c>
      <c r="B833" t="s">
        <v>142</v>
      </c>
      <c r="C833" t="s">
        <v>140</v>
      </c>
      <c r="D833" t="s">
        <v>15</v>
      </c>
      <c r="E833" t="s">
        <v>306</v>
      </c>
      <c r="F833" t="s">
        <v>154</v>
      </c>
      <c r="G833">
        <v>2</v>
      </c>
      <c r="H833" t="s">
        <v>313</v>
      </c>
      <c r="I833">
        <v>12314013</v>
      </c>
      <c r="J833">
        <v>5920710</v>
      </c>
      <c r="K833" s="3">
        <v>0.48099999999999998</v>
      </c>
    </row>
    <row r="834" spans="1:11" x14ac:dyDescent="0.3">
      <c r="A834" t="s">
        <v>256</v>
      </c>
      <c r="B834" t="s">
        <v>142</v>
      </c>
      <c r="C834" t="s">
        <v>140</v>
      </c>
      <c r="D834" t="s">
        <v>15</v>
      </c>
      <c r="E834" t="s">
        <v>306</v>
      </c>
      <c r="F834" t="s">
        <v>83</v>
      </c>
      <c r="G834">
        <v>1</v>
      </c>
      <c r="H834" t="s">
        <v>313</v>
      </c>
      <c r="I834">
        <v>4892203</v>
      </c>
      <c r="J834">
        <v>2362744</v>
      </c>
      <c r="K834" s="3">
        <v>0.48299999999999998</v>
      </c>
    </row>
    <row r="835" spans="1:11" x14ac:dyDescent="0.3">
      <c r="A835" t="s">
        <v>256</v>
      </c>
      <c r="B835" t="s">
        <v>142</v>
      </c>
      <c r="C835" t="s">
        <v>140</v>
      </c>
      <c r="D835" t="s">
        <v>34</v>
      </c>
      <c r="E835" t="s">
        <v>309</v>
      </c>
      <c r="F835" t="s">
        <v>93</v>
      </c>
      <c r="G835">
        <v>1</v>
      </c>
      <c r="H835" t="s">
        <v>313</v>
      </c>
      <c r="I835">
        <v>6245913</v>
      </c>
      <c r="J835">
        <v>3026402</v>
      </c>
      <c r="K835" s="3">
        <v>0.48499999999999999</v>
      </c>
    </row>
    <row r="836" spans="1:11" x14ac:dyDescent="0.3">
      <c r="A836" t="s">
        <v>256</v>
      </c>
      <c r="B836" t="s">
        <v>142</v>
      </c>
      <c r="C836" t="s">
        <v>140</v>
      </c>
      <c r="D836" t="s">
        <v>20</v>
      </c>
      <c r="E836" t="s">
        <v>307</v>
      </c>
      <c r="F836" t="s">
        <v>156</v>
      </c>
      <c r="G836">
        <v>2</v>
      </c>
      <c r="H836" t="s">
        <v>313</v>
      </c>
      <c r="I836">
        <v>13063356</v>
      </c>
      <c r="J836">
        <v>6354332</v>
      </c>
      <c r="K836" s="3">
        <v>0.48599999999999999</v>
      </c>
    </row>
    <row r="837" spans="1:11" x14ac:dyDescent="0.3">
      <c r="A837" t="s">
        <v>256</v>
      </c>
      <c r="B837" t="s">
        <v>142</v>
      </c>
      <c r="C837" t="s">
        <v>43</v>
      </c>
      <c r="D837" t="s">
        <v>34</v>
      </c>
      <c r="E837" t="s">
        <v>309</v>
      </c>
      <c r="F837" t="s">
        <v>104</v>
      </c>
      <c r="G837">
        <v>1</v>
      </c>
      <c r="H837" t="s">
        <v>313</v>
      </c>
      <c r="I837">
        <v>4811072</v>
      </c>
      <c r="J837">
        <v>2403651</v>
      </c>
      <c r="K837" s="3">
        <v>0.5</v>
      </c>
    </row>
    <row r="838" spans="1:11" x14ac:dyDescent="0.3">
      <c r="A838" t="s">
        <v>256</v>
      </c>
      <c r="B838" t="s">
        <v>142</v>
      </c>
      <c r="C838" t="s">
        <v>140</v>
      </c>
      <c r="D838" t="s">
        <v>20</v>
      </c>
      <c r="E838" t="s">
        <v>307</v>
      </c>
      <c r="F838" t="s">
        <v>85</v>
      </c>
      <c r="G838">
        <v>1</v>
      </c>
      <c r="H838" t="s">
        <v>313</v>
      </c>
      <c r="I838">
        <v>5043708</v>
      </c>
      <c r="J838">
        <v>2564056</v>
      </c>
      <c r="K838" s="3">
        <v>0.50800000000000001</v>
      </c>
    </row>
    <row r="839" spans="1:11" x14ac:dyDescent="0.3">
      <c r="A839" t="s">
        <v>256</v>
      </c>
      <c r="B839" t="s">
        <v>142</v>
      </c>
      <c r="C839" t="s">
        <v>140</v>
      </c>
      <c r="D839" t="s">
        <v>20</v>
      </c>
      <c r="E839" t="s">
        <v>307</v>
      </c>
      <c r="F839" t="s">
        <v>86</v>
      </c>
      <c r="G839">
        <v>1</v>
      </c>
      <c r="H839" t="s">
        <v>313</v>
      </c>
      <c r="I839">
        <v>5091785</v>
      </c>
      <c r="J839">
        <v>2619677</v>
      </c>
      <c r="K839" s="3">
        <v>0.51400000000000001</v>
      </c>
    </row>
    <row r="840" spans="1:11" x14ac:dyDescent="0.3">
      <c r="A840" t="s">
        <v>256</v>
      </c>
      <c r="B840" t="s">
        <v>142</v>
      </c>
      <c r="C840" t="s">
        <v>140</v>
      </c>
      <c r="D840" t="s">
        <v>10</v>
      </c>
      <c r="E840" t="s">
        <v>305</v>
      </c>
      <c r="F840" t="s">
        <v>152</v>
      </c>
      <c r="G840">
        <v>2</v>
      </c>
      <c r="H840" t="s">
        <v>313</v>
      </c>
      <c r="I840">
        <v>19767135</v>
      </c>
      <c r="J840">
        <v>10387780</v>
      </c>
      <c r="K840" s="3">
        <v>0.52600000000000002</v>
      </c>
    </row>
    <row r="841" spans="1:11" x14ac:dyDescent="0.3">
      <c r="A841" t="s">
        <v>256</v>
      </c>
      <c r="B841" t="s">
        <v>142</v>
      </c>
      <c r="C841" t="s">
        <v>43</v>
      </c>
      <c r="D841" t="s">
        <v>34</v>
      </c>
      <c r="E841" t="s">
        <v>309</v>
      </c>
      <c r="F841" t="s">
        <v>106</v>
      </c>
      <c r="G841">
        <v>1</v>
      </c>
      <c r="H841" t="s">
        <v>313</v>
      </c>
      <c r="I841">
        <v>4938105</v>
      </c>
      <c r="J841">
        <v>2606765</v>
      </c>
      <c r="K841" s="3">
        <v>0.52800000000000002</v>
      </c>
    </row>
    <row r="842" spans="1:11" x14ac:dyDescent="0.3">
      <c r="A842" t="s">
        <v>256</v>
      </c>
      <c r="B842" t="s">
        <v>142</v>
      </c>
      <c r="C842" t="s">
        <v>140</v>
      </c>
      <c r="D842" t="s">
        <v>20</v>
      </c>
      <c r="E842" t="s">
        <v>307</v>
      </c>
      <c r="F842" t="s">
        <v>155</v>
      </c>
      <c r="G842">
        <v>2</v>
      </c>
      <c r="H842" t="s">
        <v>313</v>
      </c>
      <c r="I842">
        <v>34465923</v>
      </c>
      <c r="J842">
        <v>18554315</v>
      </c>
      <c r="K842" s="3">
        <v>0.53800000000000003</v>
      </c>
    </row>
    <row r="843" spans="1:11" x14ac:dyDescent="0.3">
      <c r="A843" t="s">
        <v>256</v>
      </c>
      <c r="B843" t="s">
        <v>142</v>
      </c>
      <c r="C843" t="s">
        <v>43</v>
      </c>
      <c r="D843" t="s">
        <v>34</v>
      </c>
      <c r="E843" t="s">
        <v>309</v>
      </c>
      <c r="F843" t="s">
        <v>105</v>
      </c>
      <c r="G843">
        <v>1</v>
      </c>
      <c r="H843" t="s">
        <v>313</v>
      </c>
      <c r="I843">
        <v>5029997</v>
      </c>
      <c r="J843">
        <v>2730416</v>
      </c>
      <c r="K843" s="3">
        <v>0.54300000000000004</v>
      </c>
    </row>
    <row r="844" spans="1:11" x14ac:dyDescent="0.3">
      <c r="A844" t="s">
        <v>256</v>
      </c>
      <c r="B844" t="s">
        <v>142</v>
      </c>
      <c r="C844" t="s">
        <v>43</v>
      </c>
      <c r="D844" t="s">
        <v>34</v>
      </c>
      <c r="E844" t="s">
        <v>309</v>
      </c>
      <c r="F844" t="s">
        <v>107</v>
      </c>
      <c r="G844">
        <v>1</v>
      </c>
      <c r="H844" t="s">
        <v>313</v>
      </c>
      <c r="I844">
        <v>4896604</v>
      </c>
      <c r="J844">
        <v>2663551</v>
      </c>
      <c r="K844" s="3">
        <v>0.54400000000000004</v>
      </c>
    </row>
    <row r="845" spans="1:11" x14ac:dyDescent="0.3">
      <c r="A845" t="s">
        <v>256</v>
      </c>
      <c r="B845" t="s">
        <v>142</v>
      </c>
      <c r="C845" t="s">
        <v>140</v>
      </c>
      <c r="D845" t="s">
        <v>15</v>
      </c>
      <c r="E845" t="s">
        <v>306</v>
      </c>
      <c r="F845" t="s">
        <v>153</v>
      </c>
      <c r="G845">
        <v>2</v>
      </c>
      <c r="H845" t="s">
        <v>313</v>
      </c>
      <c r="I845">
        <v>18755372</v>
      </c>
      <c r="J845">
        <v>10380859</v>
      </c>
      <c r="K845" s="3">
        <v>0.55300000000000005</v>
      </c>
    </row>
    <row r="846" spans="1:11" x14ac:dyDescent="0.3">
      <c r="A846" t="s">
        <v>256</v>
      </c>
      <c r="B846" t="s">
        <v>142</v>
      </c>
      <c r="C846" t="s">
        <v>140</v>
      </c>
      <c r="D846" t="s">
        <v>25</v>
      </c>
      <c r="E846" t="s">
        <v>308</v>
      </c>
      <c r="F846" t="s">
        <v>92</v>
      </c>
      <c r="G846">
        <v>1</v>
      </c>
      <c r="H846" t="s">
        <v>313</v>
      </c>
      <c r="I846">
        <v>5033316</v>
      </c>
      <c r="J846">
        <v>2803748</v>
      </c>
      <c r="K846" s="3">
        <v>0.55700000000000005</v>
      </c>
    </row>
    <row r="847" spans="1:11" x14ac:dyDescent="0.3">
      <c r="A847" t="s">
        <v>256</v>
      </c>
      <c r="B847" t="s">
        <v>142</v>
      </c>
      <c r="C847" t="s">
        <v>43</v>
      </c>
      <c r="D847" t="s">
        <v>10</v>
      </c>
      <c r="E847" t="s">
        <v>305</v>
      </c>
      <c r="F847" t="s">
        <v>158</v>
      </c>
      <c r="G847">
        <v>2</v>
      </c>
      <c r="H847" t="s">
        <v>313</v>
      </c>
      <c r="I847">
        <v>7998331</v>
      </c>
      <c r="J847">
        <v>4469513</v>
      </c>
      <c r="K847" s="3">
        <v>0.55900000000000005</v>
      </c>
    </row>
    <row r="848" spans="1:11" x14ac:dyDescent="0.3">
      <c r="A848" t="s">
        <v>256</v>
      </c>
      <c r="B848" t="s">
        <v>142</v>
      </c>
      <c r="C848" t="s">
        <v>140</v>
      </c>
      <c r="D848" t="s">
        <v>10</v>
      </c>
      <c r="E848" t="s">
        <v>305</v>
      </c>
      <c r="F848" t="s">
        <v>75</v>
      </c>
      <c r="G848">
        <v>1</v>
      </c>
      <c r="H848" t="s">
        <v>313</v>
      </c>
      <c r="I848">
        <v>5520701</v>
      </c>
      <c r="J848">
        <v>3090694</v>
      </c>
      <c r="K848" s="3">
        <v>0.56000000000000005</v>
      </c>
    </row>
    <row r="849" spans="1:11" x14ac:dyDescent="0.3">
      <c r="A849" t="s">
        <v>256</v>
      </c>
      <c r="B849" t="s">
        <v>142</v>
      </c>
      <c r="C849" t="s">
        <v>140</v>
      </c>
      <c r="D849" t="s">
        <v>10</v>
      </c>
      <c r="E849" t="s">
        <v>305</v>
      </c>
      <c r="F849" t="s">
        <v>151</v>
      </c>
      <c r="G849">
        <v>2</v>
      </c>
      <c r="H849" t="s">
        <v>313</v>
      </c>
      <c r="I849">
        <v>9814991</v>
      </c>
      <c r="J849">
        <v>5498118</v>
      </c>
      <c r="K849" s="3">
        <v>0.56000000000000005</v>
      </c>
    </row>
    <row r="850" spans="1:11" x14ac:dyDescent="0.3">
      <c r="A850" t="s">
        <v>256</v>
      </c>
      <c r="B850" t="s">
        <v>142</v>
      </c>
      <c r="C850" t="s">
        <v>43</v>
      </c>
      <c r="D850" t="s">
        <v>25</v>
      </c>
      <c r="E850" t="s">
        <v>308</v>
      </c>
      <c r="F850" t="s">
        <v>103</v>
      </c>
      <c r="G850">
        <v>1</v>
      </c>
      <c r="H850" t="s">
        <v>313</v>
      </c>
      <c r="I850">
        <v>5065773</v>
      </c>
      <c r="J850">
        <v>2842083</v>
      </c>
      <c r="K850" s="3">
        <v>0.56100000000000005</v>
      </c>
    </row>
    <row r="851" spans="1:11" x14ac:dyDescent="0.3">
      <c r="A851" t="s">
        <v>256</v>
      </c>
      <c r="B851" t="s">
        <v>142</v>
      </c>
      <c r="C851" t="s">
        <v>140</v>
      </c>
      <c r="D851" t="s">
        <v>25</v>
      </c>
      <c r="E851" t="s">
        <v>308</v>
      </c>
      <c r="F851" t="s">
        <v>91</v>
      </c>
      <c r="G851">
        <v>1</v>
      </c>
      <c r="H851" t="s">
        <v>313</v>
      </c>
      <c r="I851">
        <v>4818318</v>
      </c>
      <c r="J851">
        <v>2719371</v>
      </c>
      <c r="K851" s="3">
        <v>0.56399999999999995</v>
      </c>
    </row>
    <row r="852" spans="1:11" x14ac:dyDescent="0.3">
      <c r="A852" t="s">
        <v>256</v>
      </c>
      <c r="B852" t="s">
        <v>142</v>
      </c>
      <c r="C852" t="s">
        <v>43</v>
      </c>
      <c r="D852" t="s">
        <v>25</v>
      </c>
      <c r="E852" t="s">
        <v>308</v>
      </c>
      <c r="F852" t="s">
        <v>101</v>
      </c>
      <c r="G852">
        <v>1</v>
      </c>
      <c r="H852" t="s">
        <v>313</v>
      </c>
      <c r="I852">
        <v>4769367</v>
      </c>
      <c r="J852">
        <v>2690545</v>
      </c>
      <c r="K852" s="3">
        <v>0.56399999999999995</v>
      </c>
    </row>
    <row r="853" spans="1:11" x14ac:dyDescent="0.3">
      <c r="A853" t="s">
        <v>256</v>
      </c>
      <c r="B853" t="s">
        <v>142</v>
      </c>
      <c r="C853" t="s">
        <v>140</v>
      </c>
      <c r="D853" t="s">
        <v>34</v>
      </c>
      <c r="E853" t="s">
        <v>309</v>
      </c>
      <c r="F853" t="s">
        <v>94</v>
      </c>
      <c r="G853">
        <v>1</v>
      </c>
      <c r="H853" t="s">
        <v>313</v>
      </c>
      <c r="I853">
        <v>4913728</v>
      </c>
      <c r="J853">
        <v>2776671</v>
      </c>
      <c r="K853" s="3">
        <v>0.56499999999999995</v>
      </c>
    </row>
    <row r="854" spans="1:11" x14ac:dyDescent="0.3">
      <c r="A854" t="s">
        <v>256</v>
      </c>
      <c r="B854" t="s">
        <v>142</v>
      </c>
      <c r="C854" t="s">
        <v>140</v>
      </c>
      <c r="D854" t="s">
        <v>34</v>
      </c>
      <c r="E854" t="s">
        <v>309</v>
      </c>
      <c r="F854" t="s">
        <v>95</v>
      </c>
      <c r="G854">
        <v>1</v>
      </c>
      <c r="H854" t="s">
        <v>313</v>
      </c>
      <c r="I854">
        <v>6146888</v>
      </c>
      <c r="J854">
        <v>3509529</v>
      </c>
      <c r="K854" s="3">
        <v>0.57099999999999995</v>
      </c>
    </row>
    <row r="855" spans="1:11" x14ac:dyDescent="0.3">
      <c r="A855" t="s">
        <v>256</v>
      </c>
      <c r="B855" t="s">
        <v>142</v>
      </c>
      <c r="C855" t="s">
        <v>43</v>
      </c>
      <c r="D855" t="s">
        <v>25</v>
      </c>
      <c r="E855" t="s">
        <v>308</v>
      </c>
      <c r="F855" t="s">
        <v>98</v>
      </c>
      <c r="G855">
        <v>1</v>
      </c>
      <c r="H855" t="s">
        <v>313</v>
      </c>
      <c r="I855">
        <v>5251002</v>
      </c>
      <c r="J855">
        <v>3006112</v>
      </c>
      <c r="K855" s="3">
        <v>0.57199999999999995</v>
      </c>
    </row>
    <row r="856" spans="1:11" x14ac:dyDescent="0.3">
      <c r="A856" t="s">
        <v>256</v>
      </c>
      <c r="B856" t="s">
        <v>142</v>
      </c>
      <c r="C856" t="s">
        <v>140</v>
      </c>
      <c r="D856" t="s">
        <v>25</v>
      </c>
      <c r="E856" t="s">
        <v>308</v>
      </c>
      <c r="F856" t="s">
        <v>89</v>
      </c>
      <c r="G856">
        <v>1</v>
      </c>
      <c r="H856" t="s">
        <v>313</v>
      </c>
      <c r="I856">
        <v>4771325</v>
      </c>
      <c r="J856">
        <v>2744043</v>
      </c>
      <c r="K856" s="3">
        <v>0.57499999999999996</v>
      </c>
    </row>
    <row r="857" spans="1:11" x14ac:dyDescent="0.3">
      <c r="A857" t="s">
        <v>256</v>
      </c>
      <c r="B857" t="s">
        <v>142</v>
      </c>
      <c r="C857" t="s">
        <v>43</v>
      </c>
      <c r="D857" t="s">
        <v>15</v>
      </c>
      <c r="E857" t="s">
        <v>306</v>
      </c>
      <c r="F857" t="s">
        <v>162</v>
      </c>
      <c r="G857">
        <v>2</v>
      </c>
      <c r="H857" t="s">
        <v>313</v>
      </c>
      <c r="I857">
        <v>24206272</v>
      </c>
      <c r="J857">
        <v>14014080</v>
      </c>
      <c r="K857" s="3">
        <v>0.57899999999999996</v>
      </c>
    </row>
    <row r="858" spans="1:11" x14ac:dyDescent="0.3">
      <c r="A858" t="s">
        <v>256</v>
      </c>
      <c r="B858" t="s">
        <v>142</v>
      </c>
      <c r="C858" t="s">
        <v>43</v>
      </c>
      <c r="D858" t="s">
        <v>10</v>
      </c>
      <c r="E858" t="s">
        <v>305</v>
      </c>
      <c r="F858" t="s">
        <v>157</v>
      </c>
      <c r="G858">
        <v>2</v>
      </c>
      <c r="H858" t="s">
        <v>313</v>
      </c>
      <c r="I858">
        <v>8832220</v>
      </c>
      <c r="J858">
        <v>5123899</v>
      </c>
      <c r="K858" s="3">
        <v>0.57999999999999996</v>
      </c>
    </row>
    <row r="859" spans="1:11" x14ac:dyDescent="0.3">
      <c r="A859" t="s">
        <v>256</v>
      </c>
      <c r="B859" t="s">
        <v>142</v>
      </c>
      <c r="C859" t="s">
        <v>140</v>
      </c>
      <c r="D859" t="s">
        <v>25</v>
      </c>
      <c r="E859" t="s">
        <v>308</v>
      </c>
      <c r="F859" t="s">
        <v>90</v>
      </c>
      <c r="G859">
        <v>1</v>
      </c>
      <c r="H859" t="s">
        <v>313</v>
      </c>
      <c r="I859">
        <v>5649344</v>
      </c>
      <c r="J859">
        <v>3289537</v>
      </c>
      <c r="K859" s="3">
        <v>0.58199999999999996</v>
      </c>
    </row>
    <row r="860" spans="1:11" x14ac:dyDescent="0.3">
      <c r="A860" t="s">
        <v>256</v>
      </c>
      <c r="B860" t="s">
        <v>142</v>
      </c>
      <c r="C860" t="s">
        <v>43</v>
      </c>
      <c r="D860" t="s">
        <v>15</v>
      </c>
      <c r="E860" t="s">
        <v>306</v>
      </c>
      <c r="F860" t="s">
        <v>161</v>
      </c>
      <c r="G860">
        <v>2</v>
      </c>
      <c r="H860" t="s">
        <v>313</v>
      </c>
      <c r="I860">
        <v>12605122</v>
      </c>
      <c r="J860">
        <v>7361917</v>
      </c>
      <c r="K860" s="3">
        <v>0.58399999999999996</v>
      </c>
    </row>
    <row r="861" spans="1:11" x14ac:dyDescent="0.3">
      <c r="A861" t="s">
        <v>256</v>
      </c>
      <c r="B861" t="s">
        <v>142</v>
      </c>
      <c r="C861" t="s">
        <v>140</v>
      </c>
      <c r="D861" t="s">
        <v>34</v>
      </c>
      <c r="E861" t="s">
        <v>309</v>
      </c>
      <c r="F861" t="s">
        <v>96</v>
      </c>
      <c r="G861">
        <v>1</v>
      </c>
      <c r="H861" t="s">
        <v>313</v>
      </c>
      <c r="I861">
        <v>4675027</v>
      </c>
      <c r="J861">
        <v>2755832</v>
      </c>
      <c r="K861" s="3">
        <v>0.58899999999999997</v>
      </c>
    </row>
    <row r="862" spans="1:11" x14ac:dyDescent="0.3">
      <c r="A862" t="s">
        <v>256</v>
      </c>
      <c r="B862" t="s">
        <v>142</v>
      </c>
      <c r="C862" t="s">
        <v>43</v>
      </c>
      <c r="D862" t="s">
        <v>15</v>
      </c>
      <c r="E862" t="s">
        <v>306</v>
      </c>
      <c r="F862" t="s">
        <v>160</v>
      </c>
      <c r="G862">
        <v>2</v>
      </c>
      <c r="H862" t="s">
        <v>313</v>
      </c>
      <c r="I862">
        <v>17022019</v>
      </c>
      <c r="J862">
        <v>10030205</v>
      </c>
      <c r="K862" s="3">
        <v>0.58899999999999997</v>
      </c>
    </row>
    <row r="863" spans="1:11" x14ac:dyDescent="0.3">
      <c r="A863" t="s">
        <v>256</v>
      </c>
      <c r="B863" t="s">
        <v>142</v>
      </c>
      <c r="C863" t="s">
        <v>43</v>
      </c>
      <c r="D863" t="s">
        <v>25</v>
      </c>
      <c r="E863" t="s">
        <v>308</v>
      </c>
      <c r="F863" t="s">
        <v>102</v>
      </c>
      <c r="G863">
        <v>1</v>
      </c>
      <c r="H863" t="s">
        <v>313</v>
      </c>
      <c r="I863">
        <v>7382840</v>
      </c>
      <c r="J863">
        <v>4368352</v>
      </c>
      <c r="K863" s="3">
        <v>0.59199999999999997</v>
      </c>
    </row>
    <row r="864" spans="1:11" x14ac:dyDescent="0.3">
      <c r="A864" t="s">
        <v>256</v>
      </c>
      <c r="B864" t="s">
        <v>142</v>
      </c>
      <c r="C864" t="s">
        <v>140</v>
      </c>
      <c r="D864" t="s">
        <v>10</v>
      </c>
      <c r="E864" t="s">
        <v>305</v>
      </c>
      <c r="F864" t="s">
        <v>80</v>
      </c>
      <c r="G864">
        <v>1</v>
      </c>
      <c r="H864" t="s">
        <v>313</v>
      </c>
      <c r="I864">
        <v>4961173</v>
      </c>
      <c r="J864">
        <v>3030117</v>
      </c>
      <c r="K864" s="3">
        <v>0.61099999999999999</v>
      </c>
    </row>
    <row r="865" spans="1:11" x14ac:dyDescent="0.3">
      <c r="A865" t="s">
        <v>256</v>
      </c>
      <c r="B865" t="s">
        <v>254</v>
      </c>
      <c r="C865" t="s">
        <v>140</v>
      </c>
      <c r="D865" t="s">
        <v>15</v>
      </c>
      <c r="E865" t="s">
        <v>306</v>
      </c>
      <c r="F865" t="s">
        <v>82</v>
      </c>
      <c r="G865">
        <v>1</v>
      </c>
      <c r="H865" t="s">
        <v>313</v>
      </c>
      <c r="I865">
        <v>5305388</v>
      </c>
      <c r="J865">
        <v>2750485</v>
      </c>
      <c r="K865" s="3">
        <v>0.51800000000000002</v>
      </c>
    </row>
    <row r="866" spans="1:11" x14ac:dyDescent="0.3">
      <c r="A866" t="s">
        <v>256</v>
      </c>
      <c r="B866" t="s">
        <v>254</v>
      </c>
      <c r="C866" t="s">
        <v>140</v>
      </c>
      <c r="D866" t="s">
        <v>15</v>
      </c>
      <c r="E866" t="s">
        <v>306</v>
      </c>
      <c r="F866" t="s">
        <v>154</v>
      </c>
      <c r="G866">
        <v>2</v>
      </c>
      <c r="H866" t="s">
        <v>313</v>
      </c>
      <c r="I866">
        <v>12314013</v>
      </c>
      <c r="J866">
        <v>6727452</v>
      </c>
      <c r="K866" s="3">
        <v>0.54600000000000004</v>
      </c>
    </row>
    <row r="867" spans="1:11" x14ac:dyDescent="0.3">
      <c r="A867" t="s">
        <v>256</v>
      </c>
      <c r="B867" t="s">
        <v>254</v>
      </c>
      <c r="C867" t="s">
        <v>140</v>
      </c>
      <c r="D867" t="s">
        <v>20</v>
      </c>
      <c r="E867" t="s">
        <v>307</v>
      </c>
      <c r="F867" t="s">
        <v>156</v>
      </c>
      <c r="G867">
        <v>2</v>
      </c>
      <c r="H867" t="s">
        <v>313</v>
      </c>
      <c r="I867">
        <v>13063356</v>
      </c>
      <c r="J867">
        <v>7245608</v>
      </c>
      <c r="K867" s="3">
        <v>0.55500000000000005</v>
      </c>
    </row>
    <row r="868" spans="1:11" x14ac:dyDescent="0.3">
      <c r="A868" t="s">
        <v>256</v>
      </c>
      <c r="B868" t="s">
        <v>254</v>
      </c>
      <c r="C868" t="s">
        <v>43</v>
      </c>
      <c r="D868" t="s">
        <v>10</v>
      </c>
      <c r="E868" t="s">
        <v>305</v>
      </c>
      <c r="F868" t="s">
        <v>159</v>
      </c>
      <c r="G868">
        <v>2</v>
      </c>
      <c r="H868" t="s">
        <v>313</v>
      </c>
      <c r="I868">
        <v>10365606</v>
      </c>
      <c r="J868">
        <v>5798662</v>
      </c>
      <c r="K868" s="3">
        <v>0.55900000000000005</v>
      </c>
    </row>
    <row r="869" spans="1:11" x14ac:dyDescent="0.3">
      <c r="A869" t="s">
        <v>256</v>
      </c>
      <c r="B869" t="s">
        <v>254</v>
      </c>
      <c r="C869" t="s">
        <v>140</v>
      </c>
      <c r="D869" t="s">
        <v>15</v>
      </c>
      <c r="E869" t="s">
        <v>306</v>
      </c>
      <c r="F869" t="s">
        <v>83</v>
      </c>
      <c r="G869">
        <v>1</v>
      </c>
      <c r="H869" t="s">
        <v>313</v>
      </c>
      <c r="I869">
        <v>4892203</v>
      </c>
      <c r="J869">
        <v>2923331</v>
      </c>
      <c r="K869" s="3">
        <v>0.59799999999999998</v>
      </c>
    </row>
    <row r="870" spans="1:11" x14ac:dyDescent="0.3">
      <c r="A870" t="s">
        <v>256</v>
      </c>
      <c r="B870" t="s">
        <v>254</v>
      </c>
      <c r="C870" t="s">
        <v>140</v>
      </c>
      <c r="D870" t="s">
        <v>10</v>
      </c>
      <c r="E870" t="s">
        <v>305</v>
      </c>
      <c r="F870" t="s">
        <v>152</v>
      </c>
      <c r="G870">
        <v>2</v>
      </c>
      <c r="H870" t="s">
        <v>313</v>
      </c>
      <c r="I870">
        <v>19767135</v>
      </c>
      <c r="J870">
        <v>11854965</v>
      </c>
      <c r="K870" s="3">
        <v>0.6</v>
      </c>
    </row>
    <row r="871" spans="1:11" x14ac:dyDescent="0.3">
      <c r="A871" t="s">
        <v>256</v>
      </c>
      <c r="B871" t="s">
        <v>254</v>
      </c>
      <c r="C871" t="s">
        <v>140</v>
      </c>
      <c r="D871" t="s">
        <v>34</v>
      </c>
      <c r="E871" t="s">
        <v>309</v>
      </c>
      <c r="F871" t="s">
        <v>93</v>
      </c>
      <c r="G871">
        <v>1</v>
      </c>
      <c r="H871" t="s">
        <v>313</v>
      </c>
      <c r="I871">
        <v>6245913</v>
      </c>
      <c r="J871">
        <v>3765414</v>
      </c>
      <c r="K871" s="3">
        <v>0.60299999999999998</v>
      </c>
    </row>
    <row r="872" spans="1:11" x14ac:dyDescent="0.3">
      <c r="A872" t="s">
        <v>256</v>
      </c>
      <c r="B872" t="s">
        <v>254</v>
      </c>
      <c r="C872" t="s">
        <v>140</v>
      </c>
      <c r="D872" t="s">
        <v>20</v>
      </c>
      <c r="E872" t="s">
        <v>307</v>
      </c>
      <c r="F872" t="s">
        <v>155</v>
      </c>
      <c r="G872">
        <v>2</v>
      </c>
      <c r="H872" t="s">
        <v>313</v>
      </c>
      <c r="I872">
        <v>34465923</v>
      </c>
      <c r="J872">
        <v>21227712</v>
      </c>
      <c r="K872" s="3">
        <v>0.61599999999999999</v>
      </c>
    </row>
    <row r="873" spans="1:11" x14ac:dyDescent="0.3">
      <c r="A873" t="s">
        <v>256</v>
      </c>
      <c r="B873" t="s">
        <v>254</v>
      </c>
      <c r="C873" t="s">
        <v>140</v>
      </c>
      <c r="D873" t="s">
        <v>20</v>
      </c>
      <c r="E873" t="s">
        <v>307</v>
      </c>
      <c r="F873" t="s">
        <v>85</v>
      </c>
      <c r="G873">
        <v>1</v>
      </c>
      <c r="H873" t="s">
        <v>313</v>
      </c>
      <c r="I873">
        <v>5043708</v>
      </c>
      <c r="J873">
        <v>3110513</v>
      </c>
      <c r="K873" s="3">
        <v>0.61699999999999999</v>
      </c>
    </row>
    <row r="874" spans="1:11" x14ac:dyDescent="0.3">
      <c r="A874" t="s">
        <v>256</v>
      </c>
      <c r="B874" t="s">
        <v>254</v>
      </c>
      <c r="C874" t="s">
        <v>43</v>
      </c>
      <c r="D874" t="s">
        <v>34</v>
      </c>
      <c r="E874" t="s">
        <v>309</v>
      </c>
      <c r="F874" t="s">
        <v>104</v>
      </c>
      <c r="G874">
        <v>1</v>
      </c>
      <c r="H874" t="s">
        <v>313</v>
      </c>
      <c r="I874">
        <v>4811072</v>
      </c>
      <c r="J874">
        <v>2977526</v>
      </c>
      <c r="K874" s="3">
        <v>0.61899999999999999</v>
      </c>
    </row>
    <row r="875" spans="1:11" x14ac:dyDescent="0.3">
      <c r="A875" t="s">
        <v>256</v>
      </c>
      <c r="B875" t="s">
        <v>254</v>
      </c>
      <c r="C875" t="s">
        <v>140</v>
      </c>
      <c r="D875" t="s">
        <v>15</v>
      </c>
      <c r="E875" t="s">
        <v>306</v>
      </c>
      <c r="F875" t="s">
        <v>153</v>
      </c>
      <c r="G875">
        <v>2</v>
      </c>
      <c r="H875" t="s">
        <v>313</v>
      </c>
      <c r="I875">
        <v>18755372</v>
      </c>
      <c r="J875">
        <v>11731405</v>
      </c>
      <c r="K875" s="3">
        <v>0.625</v>
      </c>
    </row>
    <row r="876" spans="1:11" x14ac:dyDescent="0.3">
      <c r="A876" t="s">
        <v>256</v>
      </c>
      <c r="B876" t="s">
        <v>254</v>
      </c>
      <c r="C876" t="s">
        <v>140</v>
      </c>
      <c r="D876" t="s">
        <v>20</v>
      </c>
      <c r="E876" t="s">
        <v>307</v>
      </c>
      <c r="F876" t="s">
        <v>86</v>
      </c>
      <c r="G876">
        <v>1</v>
      </c>
      <c r="H876" t="s">
        <v>313</v>
      </c>
      <c r="I876">
        <v>5091785</v>
      </c>
      <c r="J876">
        <v>3198035</v>
      </c>
      <c r="K876" s="3">
        <v>0.628</v>
      </c>
    </row>
    <row r="877" spans="1:11" x14ac:dyDescent="0.3">
      <c r="A877" t="s">
        <v>256</v>
      </c>
      <c r="B877" t="s">
        <v>254</v>
      </c>
      <c r="C877" t="s">
        <v>43</v>
      </c>
      <c r="D877" t="s">
        <v>10</v>
      </c>
      <c r="E877" t="s">
        <v>305</v>
      </c>
      <c r="F877" t="s">
        <v>158</v>
      </c>
      <c r="G877">
        <v>2</v>
      </c>
      <c r="H877" t="s">
        <v>313</v>
      </c>
      <c r="I877">
        <v>7998331</v>
      </c>
      <c r="J877">
        <v>5094969</v>
      </c>
      <c r="K877" s="3">
        <v>0.63700000000000001</v>
      </c>
    </row>
    <row r="878" spans="1:11" x14ac:dyDescent="0.3">
      <c r="A878" t="s">
        <v>256</v>
      </c>
      <c r="B878" t="s">
        <v>254</v>
      </c>
      <c r="C878" t="s">
        <v>43</v>
      </c>
      <c r="D878" t="s">
        <v>34</v>
      </c>
      <c r="E878" t="s">
        <v>309</v>
      </c>
      <c r="F878" t="s">
        <v>106</v>
      </c>
      <c r="G878">
        <v>1</v>
      </c>
      <c r="H878" t="s">
        <v>313</v>
      </c>
      <c r="I878">
        <v>4938105</v>
      </c>
      <c r="J878">
        <v>3222584</v>
      </c>
      <c r="K878" s="3">
        <v>0.65300000000000002</v>
      </c>
    </row>
    <row r="879" spans="1:11" x14ac:dyDescent="0.3">
      <c r="A879" t="s">
        <v>256</v>
      </c>
      <c r="B879" t="s">
        <v>254</v>
      </c>
      <c r="C879" t="s">
        <v>43</v>
      </c>
      <c r="D879" t="s">
        <v>10</v>
      </c>
      <c r="E879" t="s">
        <v>305</v>
      </c>
      <c r="F879" t="s">
        <v>157</v>
      </c>
      <c r="G879">
        <v>2</v>
      </c>
      <c r="H879" t="s">
        <v>313</v>
      </c>
      <c r="I879">
        <v>8832220</v>
      </c>
      <c r="J879">
        <v>5787005</v>
      </c>
      <c r="K879" s="3">
        <v>0.65500000000000003</v>
      </c>
    </row>
    <row r="880" spans="1:11" x14ac:dyDescent="0.3">
      <c r="A880" t="s">
        <v>256</v>
      </c>
      <c r="B880" t="s">
        <v>254</v>
      </c>
      <c r="C880" t="s">
        <v>43</v>
      </c>
      <c r="D880" t="s">
        <v>15</v>
      </c>
      <c r="E880" t="s">
        <v>306</v>
      </c>
      <c r="F880" t="s">
        <v>161</v>
      </c>
      <c r="G880">
        <v>2</v>
      </c>
      <c r="H880" t="s">
        <v>313</v>
      </c>
      <c r="I880">
        <v>12605122</v>
      </c>
      <c r="J880">
        <v>8377545</v>
      </c>
      <c r="K880" s="3">
        <v>0.66500000000000004</v>
      </c>
    </row>
    <row r="881" spans="1:11" x14ac:dyDescent="0.3">
      <c r="A881" t="s">
        <v>256</v>
      </c>
      <c r="B881" t="s">
        <v>254</v>
      </c>
      <c r="C881" t="s">
        <v>43</v>
      </c>
      <c r="D881" t="s">
        <v>15</v>
      </c>
      <c r="E881" t="s">
        <v>306</v>
      </c>
      <c r="F881" t="s">
        <v>162</v>
      </c>
      <c r="G881">
        <v>2</v>
      </c>
      <c r="H881" t="s">
        <v>313</v>
      </c>
      <c r="I881">
        <v>24206272</v>
      </c>
      <c r="J881">
        <v>16168890</v>
      </c>
      <c r="K881" s="3">
        <v>0.66800000000000004</v>
      </c>
    </row>
    <row r="882" spans="1:11" x14ac:dyDescent="0.3">
      <c r="A882" t="s">
        <v>256</v>
      </c>
      <c r="B882" t="s">
        <v>254</v>
      </c>
      <c r="C882" t="s">
        <v>43</v>
      </c>
      <c r="D882" t="s">
        <v>34</v>
      </c>
      <c r="E882" t="s">
        <v>309</v>
      </c>
      <c r="F882" t="s">
        <v>107</v>
      </c>
      <c r="G882">
        <v>1</v>
      </c>
      <c r="H882" t="s">
        <v>313</v>
      </c>
      <c r="I882">
        <v>4896604</v>
      </c>
      <c r="J882">
        <v>3283952</v>
      </c>
      <c r="K882" s="3">
        <v>0.67100000000000004</v>
      </c>
    </row>
    <row r="883" spans="1:11" x14ac:dyDescent="0.3">
      <c r="A883" t="s">
        <v>256</v>
      </c>
      <c r="B883" t="s">
        <v>254</v>
      </c>
      <c r="C883" t="s">
        <v>43</v>
      </c>
      <c r="D883" t="s">
        <v>25</v>
      </c>
      <c r="E883" t="s">
        <v>308</v>
      </c>
      <c r="F883" t="s">
        <v>103</v>
      </c>
      <c r="G883">
        <v>1</v>
      </c>
      <c r="H883" t="s">
        <v>313</v>
      </c>
      <c r="I883">
        <v>5065773</v>
      </c>
      <c r="J883">
        <v>3402068</v>
      </c>
      <c r="K883" s="3">
        <v>0.67200000000000004</v>
      </c>
    </row>
    <row r="884" spans="1:11" x14ac:dyDescent="0.3">
      <c r="A884" t="s">
        <v>256</v>
      </c>
      <c r="B884" t="s">
        <v>254</v>
      </c>
      <c r="C884" t="s">
        <v>43</v>
      </c>
      <c r="D884" t="s">
        <v>15</v>
      </c>
      <c r="E884" t="s">
        <v>306</v>
      </c>
      <c r="F884" t="s">
        <v>160</v>
      </c>
      <c r="G884">
        <v>2</v>
      </c>
      <c r="H884" t="s">
        <v>313</v>
      </c>
      <c r="I884">
        <v>17022019</v>
      </c>
      <c r="J884">
        <v>11506443</v>
      </c>
      <c r="K884" s="3">
        <v>0.67600000000000005</v>
      </c>
    </row>
    <row r="885" spans="1:11" x14ac:dyDescent="0.3">
      <c r="A885" t="s">
        <v>256</v>
      </c>
      <c r="B885" t="s">
        <v>254</v>
      </c>
      <c r="C885" t="s">
        <v>43</v>
      </c>
      <c r="D885" t="s">
        <v>34</v>
      </c>
      <c r="E885" t="s">
        <v>309</v>
      </c>
      <c r="F885" t="s">
        <v>105</v>
      </c>
      <c r="G885">
        <v>1</v>
      </c>
      <c r="H885" t="s">
        <v>313</v>
      </c>
      <c r="I885">
        <v>5029997</v>
      </c>
      <c r="J885">
        <v>3403684</v>
      </c>
      <c r="K885" s="3">
        <v>0.67700000000000005</v>
      </c>
    </row>
    <row r="886" spans="1:11" x14ac:dyDescent="0.3">
      <c r="A886" t="s">
        <v>256</v>
      </c>
      <c r="B886" t="s">
        <v>254</v>
      </c>
      <c r="C886" t="s">
        <v>140</v>
      </c>
      <c r="D886" t="s">
        <v>25</v>
      </c>
      <c r="E886" t="s">
        <v>308</v>
      </c>
      <c r="F886" t="s">
        <v>91</v>
      </c>
      <c r="G886">
        <v>1</v>
      </c>
      <c r="H886" t="s">
        <v>313</v>
      </c>
      <c r="I886">
        <v>4818318</v>
      </c>
      <c r="J886">
        <v>3289815</v>
      </c>
      <c r="K886" s="3">
        <v>0.68300000000000005</v>
      </c>
    </row>
    <row r="887" spans="1:11" x14ac:dyDescent="0.3">
      <c r="A887" t="s">
        <v>256</v>
      </c>
      <c r="B887" t="s">
        <v>254</v>
      </c>
      <c r="C887" t="s">
        <v>140</v>
      </c>
      <c r="D887" t="s">
        <v>25</v>
      </c>
      <c r="E887" t="s">
        <v>308</v>
      </c>
      <c r="F887" t="s">
        <v>92</v>
      </c>
      <c r="G887">
        <v>1</v>
      </c>
      <c r="H887" t="s">
        <v>313</v>
      </c>
      <c r="I887">
        <v>5033316</v>
      </c>
      <c r="J887">
        <v>3435795</v>
      </c>
      <c r="K887" s="3">
        <v>0.68300000000000005</v>
      </c>
    </row>
    <row r="888" spans="1:11" x14ac:dyDescent="0.3">
      <c r="A888" t="s">
        <v>256</v>
      </c>
      <c r="B888" t="s">
        <v>254</v>
      </c>
      <c r="C888" t="s">
        <v>140</v>
      </c>
      <c r="D888" t="s">
        <v>34</v>
      </c>
      <c r="E888" t="s">
        <v>309</v>
      </c>
      <c r="F888" t="s">
        <v>95</v>
      </c>
      <c r="G888">
        <v>1</v>
      </c>
      <c r="H888" t="s">
        <v>313</v>
      </c>
      <c r="I888">
        <v>6146888</v>
      </c>
      <c r="J888">
        <v>4243981</v>
      </c>
      <c r="K888" s="3">
        <v>0.69</v>
      </c>
    </row>
    <row r="889" spans="1:11" x14ac:dyDescent="0.3">
      <c r="A889" t="s">
        <v>256</v>
      </c>
      <c r="B889" t="s">
        <v>254</v>
      </c>
      <c r="C889" t="s">
        <v>140</v>
      </c>
      <c r="D889" t="s">
        <v>10</v>
      </c>
      <c r="E889" t="s">
        <v>305</v>
      </c>
      <c r="F889" t="s">
        <v>75</v>
      </c>
      <c r="G889">
        <v>1</v>
      </c>
      <c r="H889" t="s">
        <v>313</v>
      </c>
      <c r="I889">
        <v>5520701</v>
      </c>
      <c r="J889">
        <v>3812944</v>
      </c>
      <c r="K889" s="3">
        <v>0.69099999999999995</v>
      </c>
    </row>
    <row r="890" spans="1:11" x14ac:dyDescent="0.3">
      <c r="A890" t="s">
        <v>256</v>
      </c>
      <c r="B890" t="s">
        <v>254</v>
      </c>
      <c r="C890" t="s">
        <v>140</v>
      </c>
      <c r="D890" t="s">
        <v>34</v>
      </c>
      <c r="E890" t="s">
        <v>309</v>
      </c>
      <c r="F890" t="s">
        <v>94</v>
      </c>
      <c r="G890">
        <v>1</v>
      </c>
      <c r="H890" t="s">
        <v>313</v>
      </c>
      <c r="I890">
        <v>4913728</v>
      </c>
      <c r="J890">
        <v>3403080</v>
      </c>
      <c r="K890" s="3">
        <v>0.69299999999999995</v>
      </c>
    </row>
    <row r="891" spans="1:11" x14ac:dyDescent="0.3">
      <c r="A891" t="s">
        <v>256</v>
      </c>
      <c r="B891" t="s">
        <v>254</v>
      </c>
      <c r="C891" t="s">
        <v>43</v>
      </c>
      <c r="D891" t="s">
        <v>25</v>
      </c>
      <c r="E891" t="s">
        <v>308</v>
      </c>
      <c r="F891" t="s">
        <v>98</v>
      </c>
      <c r="G891">
        <v>1</v>
      </c>
      <c r="H891" t="s">
        <v>313</v>
      </c>
      <c r="I891">
        <v>5251002</v>
      </c>
      <c r="J891">
        <v>3661558</v>
      </c>
      <c r="K891" s="3">
        <v>0.69699999999999995</v>
      </c>
    </row>
    <row r="892" spans="1:11" x14ac:dyDescent="0.3">
      <c r="A892" t="s">
        <v>256</v>
      </c>
      <c r="B892" t="s">
        <v>254</v>
      </c>
      <c r="C892" t="s">
        <v>140</v>
      </c>
      <c r="D892" t="s">
        <v>25</v>
      </c>
      <c r="E892" t="s">
        <v>308</v>
      </c>
      <c r="F892" t="s">
        <v>89</v>
      </c>
      <c r="G892">
        <v>1</v>
      </c>
      <c r="H892" t="s">
        <v>313</v>
      </c>
      <c r="I892">
        <v>4771325</v>
      </c>
      <c r="J892">
        <v>3349326</v>
      </c>
      <c r="K892" s="3">
        <v>0.70199999999999996</v>
      </c>
    </row>
    <row r="893" spans="1:11" x14ac:dyDescent="0.3">
      <c r="A893" t="s">
        <v>256</v>
      </c>
      <c r="B893" t="s">
        <v>254</v>
      </c>
      <c r="C893" t="s">
        <v>43</v>
      </c>
      <c r="D893" t="s">
        <v>25</v>
      </c>
      <c r="E893" t="s">
        <v>308</v>
      </c>
      <c r="F893" t="s">
        <v>101</v>
      </c>
      <c r="G893">
        <v>1</v>
      </c>
      <c r="H893" t="s">
        <v>313</v>
      </c>
      <c r="I893">
        <v>4769367</v>
      </c>
      <c r="J893">
        <v>3385960</v>
      </c>
      <c r="K893" s="3">
        <v>0.71</v>
      </c>
    </row>
    <row r="894" spans="1:11" x14ac:dyDescent="0.3">
      <c r="A894" t="s">
        <v>256</v>
      </c>
      <c r="B894" t="s">
        <v>254</v>
      </c>
      <c r="C894" t="s">
        <v>140</v>
      </c>
      <c r="D894" t="s">
        <v>25</v>
      </c>
      <c r="E894" t="s">
        <v>308</v>
      </c>
      <c r="F894" t="s">
        <v>90</v>
      </c>
      <c r="G894">
        <v>1</v>
      </c>
      <c r="H894" t="s">
        <v>313</v>
      </c>
      <c r="I894">
        <v>5649344</v>
      </c>
      <c r="J894">
        <v>4018767</v>
      </c>
      <c r="K894" s="3">
        <v>0.71099999999999997</v>
      </c>
    </row>
    <row r="895" spans="1:11" x14ac:dyDescent="0.3">
      <c r="A895" t="s">
        <v>256</v>
      </c>
      <c r="B895" t="s">
        <v>254</v>
      </c>
      <c r="C895" t="s">
        <v>140</v>
      </c>
      <c r="D895" t="s">
        <v>34</v>
      </c>
      <c r="E895" t="s">
        <v>309</v>
      </c>
      <c r="F895" t="s">
        <v>96</v>
      </c>
      <c r="G895">
        <v>1</v>
      </c>
      <c r="H895" t="s">
        <v>313</v>
      </c>
      <c r="I895">
        <v>4675027</v>
      </c>
      <c r="J895">
        <v>3372732</v>
      </c>
      <c r="K895" s="3">
        <v>0.72099999999999997</v>
      </c>
    </row>
    <row r="896" spans="1:11" x14ac:dyDescent="0.3">
      <c r="A896" t="s">
        <v>256</v>
      </c>
      <c r="B896" t="s">
        <v>254</v>
      </c>
      <c r="C896" t="s">
        <v>43</v>
      </c>
      <c r="D896" t="s">
        <v>25</v>
      </c>
      <c r="E896" t="s">
        <v>308</v>
      </c>
      <c r="F896" t="s">
        <v>102</v>
      </c>
      <c r="G896">
        <v>1</v>
      </c>
      <c r="H896" t="s">
        <v>313</v>
      </c>
      <c r="I896">
        <v>7382840</v>
      </c>
      <c r="J896">
        <v>5346609</v>
      </c>
      <c r="K896" s="3">
        <v>0.72399999999999998</v>
      </c>
    </row>
    <row r="897" spans="1:27" x14ac:dyDescent="0.3">
      <c r="A897" t="s">
        <v>256</v>
      </c>
      <c r="B897" t="s">
        <v>254</v>
      </c>
      <c r="C897" t="s">
        <v>140</v>
      </c>
      <c r="D897" t="s">
        <v>10</v>
      </c>
      <c r="E897" t="s">
        <v>305</v>
      </c>
      <c r="F897" t="s">
        <v>80</v>
      </c>
      <c r="G897">
        <v>1</v>
      </c>
      <c r="H897" t="s">
        <v>313</v>
      </c>
      <c r="I897">
        <v>4961173</v>
      </c>
      <c r="J897">
        <v>3671171</v>
      </c>
      <c r="K897" s="3">
        <v>0.74</v>
      </c>
    </row>
    <row r="898" spans="1:27" x14ac:dyDescent="0.3">
      <c r="A898" t="s">
        <v>256</v>
      </c>
      <c r="B898" t="s">
        <v>254</v>
      </c>
      <c r="C898" t="s">
        <v>140</v>
      </c>
      <c r="D898" t="s">
        <v>10</v>
      </c>
      <c r="E898" t="s">
        <v>305</v>
      </c>
      <c r="F898" t="s">
        <v>151</v>
      </c>
      <c r="G898">
        <v>2</v>
      </c>
      <c r="H898" t="s">
        <v>313</v>
      </c>
    </row>
    <row r="899" spans="1:27" x14ac:dyDescent="0.3">
      <c r="A899" t="s">
        <v>256</v>
      </c>
      <c r="B899" t="s">
        <v>252</v>
      </c>
      <c r="C899" t="s">
        <v>140</v>
      </c>
      <c r="D899" t="s">
        <v>15</v>
      </c>
      <c r="E899" t="s">
        <v>306</v>
      </c>
      <c r="F899" t="s">
        <v>154</v>
      </c>
      <c r="G899">
        <v>2</v>
      </c>
      <c r="H899" t="s">
        <v>313</v>
      </c>
      <c r="I899">
        <v>32900059</v>
      </c>
      <c r="J899">
        <v>23291677</v>
      </c>
      <c r="K899" s="3">
        <v>0.70795200000000003</v>
      </c>
      <c r="L899">
        <v>21368915</v>
      </c>
      <c r="M899" s="3">
        <v>0.64951000000000003</v>
      </c>
      <c r="N899">
        <v>11531144</v>
      </c>
      <c r="O899" s="3">
        <v>0.35049000000000002</v>
      </c>
      <c r="P899">
        <v>0</v>
      </c>
      <c r="Q899" s="3">
        <v>0</v>
      </c>
      <c r="R899">
        <v>0</v>
      </c>
      <c r="S899" s="11">
        <v>1</v>
      </c>
      <c r="T899">
        <v>23259614</v>
      </c>
      <c r="U899" s="3">
        <v>0.706978</v>
      </c>
      <c r="V899">
        <v>16386675</v>
      </c>
      <c r="W899">
        <v>16513384</v>
      </c>
      <c r="X899">
        <v>32063</v>
      </c>
      <c r="Y899" s="3">
        <v>9.7455700000000003E-4</v>
      </c>
      <c r="Z899">
        <v>120783</v>
      </c>
      <c r="AA899">
        <v>34</v>
      </c>
    </row>
    <row r="900" spans="1:27" x14ac:dyDescent="0.3">
      <c r="A900" t="s">
        <v>256</v>
      </c>
      <c r="B900" t="s">
        <v>252</v>
      </c>
      <c r="C900" t="s">
        <v>140</v>
      </c>
      <c r="D900" t="s">
        <v>20</v>
      </c>
      <c r="E900" t="s">
        <v>307</v>
      </c>
      <c r="F900" t="s">
        <v>156</v>
      </c>
      <c r="G900">
        <v>2</v>
      </c>
      <c r="H900" t="s">
        <v>313</v>
      </c>
      <c r="I900">
        <v>36105139</v>
      </c>
      <c r="J900">
        <v>26350011</v>
      </c>
      <c r="K900" s="3">
        <v>0.72981300000000005</v>
      </c>
      <c r="L900">
        <v>23048970</v>
      </c>
      <c r="M900" s="3">
        <v>0.63838499999999998</v>
      </c>
      <c r="N900">
        <v>13056169</v>
      </c>
      <c r="O900" s="3">
        <v>0.36161500000000002</v>
      </c>
      <c r="P900">
        <v>0</v>
      </c>
      <c r="Q900" s="3">
        <v>0</v>
      </c>
      <c r="R900">
        <v>0</v>
      </c>
      <c r="S900" s="11">
        <v>1</v>
      </c>
      <c r="T900">
        <v>26322997</v>
      </c>
      <c r="U900" s="3">
        <v>0.72906499999999996</v>
      </c>
      <c r="V900">
        <v>17994578</v>
      </c>
      <c r="W900">
        <v>18110561</v>
      </c>
      <c r="X900">
        <v>27014</v>
      </c>
      <c r="Y900" s="3">
        <v>7.4820400000000003E-4</v>
      </c>
      <c r="Z900">
        <v>135470</v>
      </c>
      <c r="AA900">
        <v>35</v>
      </c>
    </row>
    <row r="901" spans="1:27" x14ac:dyDescent="0.3">
      <c r="A901" t="s">
        <v>256</v>
      </c>
      <c r="B901" t="s">
        <v>252</v>
      </c>
      <c r="C901" t="s">
        <v>140</v>
      </c>
      <c r="D901" t="s">
        <v>15</v>
      </c>
      <c r="E901" t="s">
        <v>306</v>
      </c>
      <c r="F901" t="s">
        <v>153</v>
      </c>
      <c r="G901">
        <v>2</v>
      </c>
      <c r="H901" t="s">
        <v>313</v>
      </c>
      <c r="I901">
        <v>49406925</v>
      </c>
      <c r="J901">
        <v>36274867</v>
      </c>
      <c r="K901" s="3">
        <v>0.73420600000000003</v>
      </c>
      <c r="L901">
        <v>31390954</v>
      </c>
      <c r="M901" s="3">
        <v>0.635355</v>
      </c>
      <c r="N901">
        <v>18015971</v>
      </c>
      <c r="O901" s="3">
        <v>0.364645</v>
      </c>
      <c r="P901">
        <v>0</v>
      </c>
      <c r="Q901" s="3">
        <v>0</v>
      </c>
      <c r="R901">
        <v>0</v>
      </c>
      <c r="S901" s="11">
        <v>1</v>
      </c>
      <c r="T901">
        <v>36233663</v>
      </c>
      <c r="U901" s="3">
        <v>0.73337200000000002</v>
      </c>
      <c r="V901">
        <v>24605240</v>
      </c>
      <c r="W901">
        <v>24801685</v>
      </c>
      <c r="X901">
        <v>41204</v>
      </c>
      <c r="Y901" s="3">
        <v>8.3397199999999999E-4</v>
      </c>
      <c r="Z901">
        <v>110189</v>
      </c>
      <c r="AA901">
        <v>35</v>
      </c>
    </row>
    <row r="902" spans="1:27" x14ac:dyDescent="0.3">
      <c r="A902" t="s">
        <v>256</v>
      </c>
      <c r="B902" t="s">
        <v>252</v>
      </c>
      <c r="C902" t="s">
        <v>43</v>
      </c>
      <c r="D902" t="s">
        <v>10</v>
      </c>
      <c r="E902" t="s">
        <v>305</v>
      </c>
      <c r="F902" t="s">
        <v>157</v>
      </c>
      <c r="G902">
        <v>2</v>
      </c>
      <c r="H902" t="s">
        <v>313</v>
      </c>
      <c r="I902">
        <v>22945177</v>
      </c>
      <c r="J902">
        <v>16869462</v>
      </c>
      <c r="K902" s="3">
        <v>0.73520700000000005</v>
      </c>
      <c r="L902">
        <v>14536847</v>
      </c>
      <c r="M902" s="3">
        <v>0.63354699999999997</v>
      </c>
      <c r="N902">
        <v>8408330</v>
      </c>
      <c r="O902" s="3">
        <v>0.36645299999999997</v>
      </c>
      <c r="P902">
        <v>0</v>
      </c>
      <c r="Q902" s="3">
        <v>0</v>
      </c>
      <c r="R902">
        <v>0</v>
      </c>
      <c r="S902" s="11">
        <v>1</v>
      </c>
      <c r="T902">
        <v>16845202</v>
      </c>
      <c r="U902" s="3">
        <v>0.73414999999999997</v>
      </c>
      <c r="V902">
        <v>11423238</v>
      </c>
      <c r="W902">
        <v>11521939</v>
      </c>
      <c r="X902">
        <v>24260</v>
      </c>
      <c r="Y902" s="3">
        <v>1.0572999999999999E-3</v>
      </c>
      <c r="Z902">
        <v>106085</v>
      </c>
      <c r="AA902">
        <v>34</v>
      </c>
    </row>
    <row r="903" spans="1:27" x14ac:dyDescent="0.3">
      <c r="A903" t="s">
        <v>256</v>
      </c>
      <c r="B903" t="s">
        <v>252</v>
      </c>
      <c r="C903" t="s">
        <v>43</v>
      </c>
      <c r="D903" t="s">
        <v>10</v>
      </c>
      <c r="E903" t="s">
        <v>305</v>
      </c>
      <c r="F903" t="s">
        <v>159</v>
      </c>
      <c r="G903">
        <v>2</v>
      </c>
      <c r="H903" t="s">
        <v>313</v>
      </c>
      <c r="I903">
        <v>29673043</v>
      </c>
      <c r="J903">
        <v>22103587</v>
      </c>
      <c r="K903" s="3">
        <v>0.74490500000000004</v>
      </c>
      <c r="L903">
        <v>18659171</v>
      </c>
      <c r="M903" s="3">
        <v>0.628826</v>
      </c>
      <c r="N903">
        <v>11013872</v>
      </c>
      <c r="O903" s="3">
        <v>0.371174</v>
      </c>
      <c r="P903">
        <v>0</v>
      </c>
      <c r="Q903" s="3">
        <v>0</v>
      </c>
      <c r="R903">
        <v>0</v>
      </c>
      <c r="S903" s="11">
        <v>1</v>
      </c>
      <c r="T903">
        <v>22073494</v>
      </c>
      <c r="U903" s="3">
        <v>0.74389000000000005</v>
      </c>
      <c r="V903">
        <v>14787008</v>
      </c>
      <c r="W903">
        <v>14886035</v>
      </c>
      <c r="X903">
        <v>30093</v>
      </c>
      <c r="Y903" s="3">
        <v>1.0141499999999999E-3</v>
      </c>
      <c r="Z903">
        <v>153941</v>
      </c>
      <c r="AA903">
        <v>34</v>
      </c>
    </row>
    <row r="904" spans="1:27" x14ac:dyDescent="0.3">
      <c r="A904" t="s">
        <v>256</v>
      </c>
      <c r="B904" t="s">
        <v>252</v>
      </c>
      <c r="C904" t="s">
        <v>43</v>
      </c>
      <c r="D904" t="s">
        <v>10</v>
      </c>
      <c r="E904" t="s">
        <v>305</v>
      </c>
      <c r="F904" t="s">
        <v>158</v>
      </c>
      <c r="G904">
        <v>2</v>
      </c>
      <c r="H904" t="s">
        <v>313</v>
      </c>
      <c r="I904">
        <v>21807619</v>
      </c>
      <c r="J904">
        <v>16314191</v>
      </c>
      <c r="K904" s="3">
        <v>0.74809599999999998</v>
      </c>
      <c r="L904">
        <v>13689668</v>
      </c>
      <c r="M904" s="3">
        <v>0.62774700000000005</v>
      </c>
      <c r="N904">
        <v>8117951</v>
      </c>
      <c r="O904" s="3">
        <v>0.372253</v>
      </c>
      <c r="P904">
        <v>0</v>
      </c>
      <c r="Q904" s="3">
        <v>0</v>
      </c>
      <c r="R904">
        <v>0</v>
      </c>
      <c r="S904" s="11">
        <v>1</v>
      </c>
      <c r="T904">
        <v>16295273</v>
      </c>
      <c r="U904" s="3">
        <v>0.747228</v>
      </c>
      <c r="V904">
        <v>10872436</v>
      </c>
      <c r="W904">
        <v>10935183</v>
      </c>
      <c r="X904">
        <v>18918</v>
      </c>
      <c r="Y904" s="3">
        <v>8.6749500000000003E-4</v>
      </c>
      <c r="Z904">
        <v>125835</v>
      </c>
      <c r="AA904">
        <v>35</v>
      </c>
    </row>
    <row r="905" spans="1:27" x14ac:dyDescent="0.3">
      <c r="A905" t="s">
        <v>256</v>
      </c>
      <c r="B905" t="s">
        <v>252</v>
      </c>
      <c r="C905" t="s">
        <v>140</v>
      </c>
      <c r="D905" t="s">
        <v>20</v>
      </c>
      <c r="E905" t="s">
        <v>307</v>
      </c>
      <c r="F905" t="s">
        <v>155</v>
      </c>
      <c r="G905">
        <v>2</v>
      </c>
      <c r="H905" t="s">
        <v>313</v>
      </c>
      <c r="I905">
        <v>96124242</v>
      </c>
      <c r="J905">
        <v>72385103</v>
      </c>
      <c r="K905" s="3">
        <v>0.75303699999999996</v>
      </c>
      <c r="L905">
        <v>60286258</v>
      </c>
      <c r="M905" s="3">
        <v>0.62717000000000001</v>
      </c>
      <c r="N905">
        <v>35837984</v>
      </c>
      <c r="O905" s="3">
        <v>0.37282999999999999</v>
      </c>
      <c r="P905">
        <v>0</v>
      </c>
      <c r="Q905" s="3">
        <v>0</v>
      </c>
      <c r="R905">
        <v>0</v>
      </c>
      <c r="S905" s="11">
        <v>1</v>
      </c>
      <c r="T905">
        <v>72301664</v>
      </c>
      <c r="U905" s="3">
        <v>0.75216899999999998</v>
      </c>
      <c r="V905">
        <v>47912400</v>
      </c>
      <c r="W905">
        <v>48211842</v>
      </c>
      <c r="X905">
        <v>83439</v>
      </c>
      <c r="Y905" s="3">
        <v>8.6803300000000004E-4</v>
      </c>
      <c r="Z905">
        <v>135098</v>
      </c>
      <c r="AA905">
        <v>36</v>
      </c>
    </row>
    <row r="906" spans="1:27" x14ac:dyDescent="0.3">
      <c r="A906" t="s">
        <v>256</v>
      </c>
      <c r="B906" t="s">
        <v>252</v>
      </c>
      <c r="C906" t="s">
        <v>140</v>
      </c>
      <c r="D906" t="s">
        <v>10</v>
      </c>
      <c r="E906" t="s">
        <v>305</v>
      </c>
      <c r="F906" t="s">
        <v>151</v>
      </c>
      <c r="G906">
        <v>2</v>
      </c>
      <c r="H906" t="s">
        <v>313</v>
      </c>
      <c r="I906">
        <v>7261105</v>
      </c>
      <c r="J906">
        <v>5472580</v>
      </c>
      <c r="K906" s="3">
        <v>0.75368400000000002</v>
      </c>
      <c r="L906">
        <v>4535559</v>
      </c>
      <c r="M906" s="3">
        <v>0.62463800000000003</v>
      </c>
      <c r="N906">
        <v>2725546</v>
      </c>
      <c r="O906" s="3">
        <v>0.37536199999999997</v>
      </c>
      <c r="P906">
        <v>0</v>
      </c>
      <c r="Q906" s="3">
        <v>0</v>
      </c>
      <c r="R906">
        <v>0</v>
      </c>
      <c r="S906" s="11">
        <v>1</v>
      </c>
      <c r="T906">
        <v>5467394</v>
      </c>
      <c r="U906" s="3">
        <v>0.75297000000000003</v>
      </c>
      <c r="V906">
        <v>3619026</v>
      </c>
      <c r="W906">
        <v>3642079</v>
      </c>
      <c r="X906">
        <v>5186</v>
      </c>
      <c r="Y906" s="3">
        <v>7.1421600000000005E-4</v>
      </c>
      <c r="Z906">
        <v>135453</v>
      </c>
      <c r="AA906">
        <v>36</v>
      </c>
    </row>
    <row r="907" spans="1:27" x14ac:dyDescent="0.3">
      <c r="A907" t="s">
        <v>256</v>
      </c>
      <c r="B907" t="s">
        <v>252</v>
      </c>
      <c r="C907" t="s">
        <v>140</v>
      </c>
      <c r="D907" t="s">
        <v>10</v>
      </c>
      <c r="E907" t="s">
        <v>305</v>
      </c>
      <c r="F907" t="s">
        <v>152</v>
      </c>
      <c r="G907">
        <v>2</v>
      </c>
      <c r="H907" t="s">
        <v>313</v>
      </c>
      <c r="I907">
        <v>56929199</v>
      </c>
      <c r="J907">
        <v>42911040</v>
      </c>
      <c r="K907" s="3">
        <v>0.75376200000000004</v>
      </c>
      <c r="L907">
        <v>35665012</v>
      </c>
      <c r="M907" s="3">
        <v>0.62648000000000004</v>
      </c>
      <c r="N907">
        <v>21264187</v>
      </c>
      <c r="O907" s="3">
        <v>0.37352000000000002</v>
      </c>
      <c r="P907">
        <v>0</v>
      </c>
      <c r="Q907" s="3">
        <v>0</v>
      </c>
      <c r="R907">
        <v>0</v>
      </c>
      <c r="S907" s="11">
        <v>1</v>
      </c>
      <c r="T907">
        <v>42860005</v>
      </c>
      <c r="U907" s="3">
        <v>0.75286500000000001</v>
      </c>
      <c r="V907">
        <v>28391355</v>
      </c>
      <c r="W907">
        <v>28537844</v>
      </c>
      <c r="X907">
        <v>51035</v>
      </c>
      <c r="Y907" s="3">
        <v>8.9646400000000003E-4</v>
      </c>
      <c r="Z907">
        <v>152069</v>
      </c>
      <c r="AA907">
        <v>37</v>
      </c>
    </row>
    <row r="908" spans="1:27" x14ac:dyDescent="0.3">
      <c r="A908" t="s">
        <v>256</v>
      </c>
      <c r="B908" t="s">
        <v>252</v>
      </c>
      <c r="C908" t="s">
        <v>43</v>
      </c>
      <c r="D908" t="s">
        <v>15</v>
      </c>
      <c r="E908" t="s">
        <v>306</v>
      </c>
      <c r="F908" t="s">
        <v>161</v>
      </c>
      <c r="G908">
        <v>2</v>
      </c>
      <c r="H908" t="s">
        <v>313</v>
      </c>
      <c r="I908">
        <v>34651680</v>
      </c>
      <c r="J908">
        <v>26278563</v>
      </c>
      <c r="K908" s="3">
        <v>0.75836300000000001</v>
      </c>
      <c r="L908">
        <v>21639751</v>
      </c>
      <c r="M908" s="3">
        <v>0.62449399999999999</v>
      </c>
      <c r="N908">
        <v>13011929</v>
      </c>
      <c r="O908" s="3">
        <v>0.37550600000000001</v>
      </c>
      <c r="P908">
        <v>0</v>
      </c>
      <c r="Q908" s="3">
        <v>0</v>
      </c>
      <c r="R908">
        <v>0</v>
      </c>
      <c r="S908" s="11">
        <v>1</v>
      </c>
      <c r="T908">
        <v>26253892</v>
      </c>
      <c r="U908" s="3">
        <v>0.75765099999999996</v>
      </c>
      <c r="V908">
        <v>17277961</v>
      </c>
      <c r="W908">
        <v>17373719</v>
      </c>
      <c r="X908">
        <v>24671</v>
      </c>
      <c r="Y908" s="3">
        <v>7.1197100000000004E-4</v>
      </c>
      <c r="Z908">
        <v>124456</v>
      </c>
      <c r="AA908">
        <v>37</v>
      </c>
    </row>
    <row r="909" spans="1:27" x14ac:dyDescent="0.3">
      <c r="A909" t="s">
        <v>256</v>
      </c>
      <c r="B909" t="s">
        <v>252</v>
      </c>
      <c r="C909" t="s">
        <v>140</v>
      </c>
      <c r="D909" t="s">
        <v>15</v>
      </c>
      <c r="E909" t="s">
        <v>306</v>
      </c>
      <c r="F909" t="s">
        <v>82</v>
      </c>
      <c r="G909">
        <v>1</v>
      </c>
      <c r="H909" t="s">
        <v>313</v>
      </c>
      <c r="I909">
        <v>16698253</v>
      </c>
      <c r="J909">
        <v>12778872</v>
      </c>
      <c r="K909" s="3">
        <v>0.76528200000000002</v>
      </c>
      <c r="L909">
        <v>10361398</v>
      </c>
      <c r="M909" s="3">
        <v>0.62050799999999995</v>
      </c>
      <c r="N909">
        <v>6336855</v>
      </c>
      <c r="O909" s="3">
        <v>0.379492</v>
      </c>
      <c r="P909">
        <v>0</v>
      </c>
      <c r="Q909" s="3">
        <v>0</v>
      </c>
      <c r="R909">
        <v>0</v>
      </c>
      <c r="S909" s="11">
        <v>1</v>
      </c>
      <c r="T909">
        <v>12769152</v>
      </c>
      <c r="U909" s="3">
        <v>0.76470000000000005</v>
      </c>
      <c r="V909">
        <v>8416332</v>
      </c>
      <c r="W909">
        <v>8281921</v>
      </c>
      <c r="X909">
        <v>9720</v>
      </c>
      <c r="Y909" s="3">
        <v>5.8209699999999995E-4</v>
      </c>
      <c r="Z909">
        <v>216305</v>
      </c>
      <c r="AA909">
        <v>36</v>
      </c>
    </row>
    <row r="910" spans="1:27" x14ac:dyDescent="0.3">
      <c r="A910" t="s">
        <v>256</v>
      </c>
      <c r="B910" t="s">
        <v>252</v>
      </c>
      <c r="C910" t="s">
        <v>43</v>
      </c>
      <c r="D910" t="s">
        <v>15</v>
      </c>
      <c r="E910" t="s">
        <v>306</v>
      </c>
      <c r="F910" t="s">
        <v>160</v>
      </c>
      <c r="G910">
        <v>2</v>
      </c>
      <c r="H910" t="s">
        <v>313</v>
      </c>
      <c r="I910">
        <v>48860797</v>
      </c>
      <c r="J910">
        <v>37987473</v>
      </c>
      <c r="K910" s="3">
        <v>0.77746300000000002</v>
      </c>
      <c r="L910">
        <v>29988069</v>
      </c>
      <c r="M910" s="3">
        <v>0.61374499999999999</v>
      </c>
      <c r="N910">
        <v>18872728</v>
      </c>
      <c r="O910" s="3">
        <v>0.38625500000000001</v>
      </c>
      <c r="P910">
        <v>0</v>
      </c>
      <c r="Q910" s="3">
        <v>0</v>
      </c>
      <c r="R910">
        <v>0</v>
      </c>
      <c r="S910" s="11">
        <v>1</v>
      </c>
      <c r="T910">
        <v>37950724</v>
      </c>
      <c r="U910" s="3">
        <v>0.77671100000000004</v>
      </c>
      <c r="V910">
        <v>24369571</v>
      </c>
      <c r="W910">
        <v>24491226</v>
      </c>
      <c r="X910">
        <v>36749</v>
      </c>
      <c r="Y910" s="3">
        <v>7.5211600000000005E-4</v>
      </c>
      <c r="Z910">
        <v>144908</v>
      </c>
      <c r="AA910">
        <v>37</v>
      </c>
    </row>
    <row r="911" spans="1:27" x14ac:dyDescent="0.3">
      <c r="A911" t="s">
        <v>256</v>
      </c>
      <c r="B911" t="s">
        <v>252</v>
      </c>
      <c r="C911" t="s">
        <v>140</v>
      </c>
      <c r="D911" t="s">
        <v>15</v>
      </c>
      <c r="E911" t="s">
        <v>306</v>
      </c>
      <c r="F911" t="s">
        <v>83</v>
      </c>
      <c r="G911">
        <v>1</v>
      </c>
      <c r="H911" t="s">
        <v>313</v>
      </c>
      <c r="I911">
        <v>15341378</v>
      </c>
      <c r="J911">
        <v>11984166</v>
      </c>
      <c r="K911" s="3">
        <v>0.78116600000000003</v>
      </c>
      <c r="L911">
        <v>9415740</v>
      </c>
      <c r="M911" s="3">
        <v>0.61374799999999996</v>
      </c>
      <c r="N911">
        <v>5925638</v>
      </c>
      <c r="O911" s="3">
        <v>0.38625199999999998</v>
      </c>
      <c r="P911">
        <v>0</v>
      </c>
      <c r="Q911" s="3">
        <v>0</v>
      </c>
      <c r="R911">
        <v>0</v>
      </c>
      <c r="S911" s="11">
        <v>1</v>
      </c>
      <c r="T911">
        <v>11976091</v>
      </c>
      <c r="U911" s="3">
        <v>0.78064</v>
      </c>
      <c r="V911">
        <v>7731827</v>
      </c>
      <c r="W911">
        <v>7609551</v>
      </c>
      <c r="X911">
        <v>8075</v>
      </c>
      <c r="Y911" s="3">
        <v>5.2635400000000004E-4</v>
      </c>
      <c r="Z911">
        <v>210269</v>
      </c>
      <c r="AA911">
        <v>37</v>
      </c>
    </row>
    <row r="912" spans="1:27" x14ac:dyDescent="0.3">
      <c r="A912" t="s">
        <v>256</v>
      </c>
      <c r="B912" t="s">
        <v>252</v>
      </c>
      <c r="C912" t="s">
        <v>140</v>
      </c>
      <c r="D912" t="s">
        <v>20</v>
      </c>
      <c r="E912" t="s">
        <v>307</v>
      </c>
      <c r="F912" t="s">
        <v>85</v>
      </c>
      <c r="G912">
        <v>1</v>
      </c>
      <c r="H912" t="s">
        <v>313</v>
      </c>
      <c r="I912">
        <v>15375735</v>
      </c>
      <c r="J912">
        <v>12021996</v>
      </c>
      <c r="K912" s="3">
        <v>0.78188100000000005</v>
      </c>
      <c r="L912">
        <v>9410877</v>
      </c>
      <c r="M912" s="3">
        <v>0.61206000000000005</v>
      </c>
      <c r="N912">
        <v>5964858</v>
      </c>
      <c r="O912" s="3">
        <v>0.38794000000000001</v>
      </c>
      <c r="P912">
        <v>0</v>
      </c>
      <c r="Q912" s="3">
        <v>0</v>
      </c>
      <c r="R912">
        <v>0</v>
      </c>
      <c r="S912" s="11">
        <v>1</v>
      </c>
      <c r="T912">
        <v>12013593</v>
      </c>
      <c r="U912" s="3">
        <v>0.781335</v>
      </c>
      <c r="V912">
        <v>7743510</v>
      </c>
      <c r="W912">
        <v>7632225</v>
      </c>
      <c r="X912">
        <v>8403</v>
      </c>
      <c r="Y912" s="3">
        <v>5.4651000000000005E-4</v>
      </c>
      <c r="Z912">
        <v>188901</v>
      </c>
      <c r="AA912">
        <v>36</v>
      </c>
    </row>
    <row r="913" spans="1:27" x14ac:dyDescent="0.3">
      <c r="A913" t="s">
        <v>256</v>
      </c>
      <c r="B913" t="s">
        <v>252</v>
      </c>
      <c r="C913" t="s">
        <v>43</v>
      </c>
      <c r="D913" t="s">
        <v>15</v>
      </c>
      <c r="E913" t="s">
        <v>306</v>
      </c>
      <c r="F913" t="s">
        <v>162</v>
      </c>
      <c r="G913">
        <v>2</v>
      </c>
      <c r="H913" t="s">
        <v>313</v>
      </c>
      <c r="I913">
        <v>72056940</v>
      </c>
      <c r="J913">
        <v>56703964</v>
      </c>
      <c r="K913" s="3">
        <v>0.78693299999999999</v>
      </c>
      <c r="L913">
        <v>43871182</v>
      </c>
      <c r="M913" s="3">
        <v>0.60884000000000005</v>
      </c>
      <c r="N913">
        <v>28185758</v>
      </c>
      <c r="O913" s="3">
        <v>0.39116000000000001</v>
      </c>
      <c r="P913">
        <v>0</v>
      </c>
      <c r="Q913" s="3">
        <v>0</v>
      </c>
      <c r="R913">
        <v>0</v>
      </c>
      <c r="S913" s="11">
        <v>1</v>
      </c>
      <c r="T913">
        <v>56657499</v>
      </c>
      <c r="U913" s="3">
        <v>0.78628799999999999</v>
      </c>
      <c r="V913">
        <v>35950488</v>
      </c>
      <c r="W913">
        <v>36106452</v>
      </c>
      <c r="X913">
        <v>46465</v>
      </c>
      <c r="Y913" s="3">
        <v>6.4483699999999999E-4</v>
      </c>
      <c r="Z913">
        <v>161606</v>
      </c>
      <c r="AA913">
        <v>38</v>
      </c>
    </row>
    <row r="914" spans="1:27" x14ac:dyDescent="0.3">
      <c r="A914" t="s">
        <v>256</v>
      </c>
      <c r="B914" t="s">
        <v>252</v>
      </c>
      <c r="C914" t="s">
        <v>43</v>
      </c>
      <c r="D914" t="s">
        <v>34</v>
      </c>
      <c r="E914" t="s">
        <v>309</v>
      </c>
      <c r="F914" t="s">
        <v>104</v>
      </c>
      <c r="G914">
        <v>1</v>
      </c>
      <c r="H914" t="s">
        <v>313</v>
      </c>
      <c r="I914">
        <v>16040579</v>
      </c>
      <c r="J914">
        <v>12927248</v>
      </c>
      <c r="K914" s="3">
        <v>0.80590899999999999</v>
      </c>
      <c r="L914">
        <v>9649644</v>
      </c>
      <c r="M914" s="3">
        <v>0.60157700000000003</v>
      </c>
      <c r="N914">
        <v>6390935</v>
      </c>
      <c r="O914" s="3">
        <v>0.39842300000000003</v>
      </c>
      <c r="P914">
        <v>0</v>
      </c>
      <c r="Q914" s="3">
        <v>0</v>
      </c>
      <c r="R914">
        <v>0</v>
      </c>
      <c r="S914" s="11">
        <v>1</v>
      </c>
      <c r="T914">
        <v>12921789</v>
      </c>
      <c r="U914" s="3">
        <v>0.80556899999999998</v>
      </c>
      <c r="V914">
        <v>8094321</v>
      </c>
      <c r="W914">
        <v>7946258</v>
      </c>
      <c r="X914">
        <v>5459</v>
      </c>
      <c r="Y914" s="3">
        <v>3.4032399999999998E-4</v>
      </c>
      <c r="Z914">
        <v>237751</v>
      </c>
      <c r="AA914">
        <v>40</v>
      </c>
    </row>
    <row r="915" spans="1:27" x14ac:dyDescent="0.3">
      <c r="A915" t="s">
        <v>256</v>
      </c>
      <c r="B915" t="s">
        <v>252</v>
      </c>
      <c r="C915" t="s">
        <v>140</v>
      </c>
      <c r="D915" t="s">
        <v>20</v>
      </c>
      <c r="E915" t="s">
        <v>307</v>
      </c>
      <c r="F915" t="s">
        <v>86</v>
      </c>
      <c r="G915">
        <v>1</v>
      </c>
      <c r="H915" t="s">
        <v>313</v>
      </c>
      <c r="I915">
        <v>16855915</v>
      </c>
      <c r="J915">
        <v>13632170</v>
      </c>
      <c r="K915" s="3">
        <v>0.80874699999999999</v>
      </c>
      <c r="L915">
        <v>10089578</v>
      </c>
      <c r="M915" s="3">
        <v>0.59857800000000005</v>
      </c>
      <c r="N915">
        <v>6766337</v>
      </c>
      <c r="O915" s="3">
        <v>0.401422</v>
      </c>
      <c r="P915">
        <v>0</v>
      </c>
      <c r="Q915" s="3">
        <v>0</v>
      </c>
      <c r="R915">
        <v>0</v>
      </c>
      <c r="S915" s="11">
        <v>1</v>
      </c>
      <c r="T915">
        <v>13626390</v>
      </c>
      <c r="U915" s="3">
        <v>0.80840400000000001</v>
      </c>
      <c r="V915">
        <v>8528922</v>
      </c>
      <c r="W915">
        <v>8326993</v>
      </c>
      <c r="X915">
        <v>5780</v>
      </c>
      <c r="Y915" s="3">
        <v>3.4290600000000003E-4</v>
      </c>
      <c r="Z915">
        <v>231288</v>
      </c>
      <c r="AA915">
        <v>39</v>
      </c>
    </row>
    <row r="916" spans="1:27" x14ac:dyDescent="0.3">
      <c r="A916" t="s">
        <v>256</v>
      </c>
      <c r="B916" t="s">
        <v>252</v>
      </c>
      <c r="C916" t="s">
        <v>43</v>
      </c>
      <c r="D916" t="s">
        <v>25</v>
      </c>
      <c r="E916" t="s">
        <v>308</v>
      </c>
      <c r="F916" t="s">
        <v>103</v>
      </c>
      <c r="G916">
        <v>1</v>
      </c>
      <c r="H916" t="s">
        <v>313</v>
      </c>
      <c r="I916">
        <v>16110907</v>
      </c>
      <c r="J916">
        <v>13070263</v>
      </c>
      <c r="K916" s="3">
        <v>0.81126799999999999</v>
      </c>
      <c r="L916">
        <v>9621646</v>
      </c>
      <c r="M916" s="3">
        <v>0.59721299999999999</v>
      </c>
      <c r="N916">
        <v>6489261</v>
      </c>
      <c r="O916" s="3">
        <v>0.40278700000000001</v>
      </c>
      <c r="P916">
        <v>0</v>
      </c>
      <c r="Q916" s="3">
        <v>0</v>
      </c>
      <c r="R916">
        <v>0</v>
      </c>
      <c r="S916" s="11">
        <v>1</v>
      </c>
      <c r="T916">
        <v>13063434</v>
      </c>
      <c r="U916" s="3">
        <v>0.81084400000000001</v>
      </c>
      <c r="V916">
        <v>8112026</v>
      </c>
      <c r="W916">
        <v>7998881</v>
      </c>
      <c r="X916">
        <v>6829</v>
      </c>
      <c r="Y916" s="3">
        <v>4.2387399999999997E-4</v>
      </c>
      <c r="Z916">
        <v>197600</v>
      </c>
      <c r="AA916">
        <v>39</v>
      </c>
    </row>
    <row r="917" spans="1:27" x14ac:dyDescent="0.3">
      <c r="A917" t="s">
        <v>256</v>
      </c>
      <c r="B917" t="s">
        <v>252</v>
      </c>
      <c r="C917" t="s">
        <v>140</v>
      </c>
      <c r="D917" t="s">
        <v>34</v>
      </c>
      <c r="E917" t="s">
        <v>309</v>
      </c>
      <c r="F917" t="s">
        <v>93</v>
      </c>
      <c r="G917">
        <v>1</v>
      </c>
      <c r="H917" t="s">
        <v>313</v>
      </c>
      <c r="I917">
        <v>21557962</v>
      </c>
      <c r="J917">
        <v>17557147</v>
      </c>
      <c r="K917" s="3">
        <v>0.81441600000000003</v>
      </c>
      <c r="L917">
        <v>12861792</v>
      </c>
      <c r="M917" s="3">
        <v>0.59661399999999998</v>
      </c>
      <c r="N917">
        <v>8696170</v>
      </c>
      <c r="O917" s="3">
        <v>0.40338600000000002</v>
      </c>
      <c r="P917">
        <v>0</v>
      </c>
      <c r="Q917" s="3">
        <v>0</v>
      </c>
      <c r="R917">
        <v>0</v>
      </c>
      <c r="S917" s="11">
        <v>1</v>
      </c>
      <c r="T917">
        <v>17549061</v>
      </c>
      <c r="U917" s="3">
        <v>0.81404100000000001</v>
      </c>
      <c r="V917">
        <v>10855980</v>
      </c>
      <c r="W917">
        <v>10701982</v>
      </c>
      <c r="X917">
        <v>8086</v>
      </c>
      <c r="Y917" s="3">
        <v>3.75082E-4</v>
      </c>
      <c r="Z917">
        <v>260750</v>
      </c>
      <c r="AA917">
        <v>41</v>
      </c>
    </row>
    <row r="918" spans="1:27" x14ac:dyDescent="0.3">
      <c r="A918" t="s">
        <v>256</v>
      </c>
      <c r="B918" t="s">
        <v>252</v>
      </c>
      <c r="C918" t="s">
        <v>140</v>
      </c>
      <c r="D918" t="s">
        <v>10</v>
      </c>
      <c r="E918" t="s">
        <v>305</v>
      </c>
      <c r="F918" t="s">
        <v>75</v>
      </c>
      <c r="G918">
        <v>1</v>
      </c>
      <c r="H918" t="s">
        <v>313</v>
      </c>
      <c r="I918">
        <v>17744319</v>
      </c>
      <c r="J918">
        <v>14484066</v>
      </c>
      <c r="K918" s="3">
        <v>0.81626500000000002</v>
      </c>
      <c r="L918">
        <v>10560493</v>
      </c>
      <c r="M918" s="3">
        <v>0.59514800000000001</v>
      </c>
      <c r="N918">
        <v>7183826</v>
      </c>
      <c r="O918" s="3">
        <v>0.40485199999999999</v>
      </c>
      <c r="P918">
        <v>0</v>
      </c>
      <c r="Q918" s="3">
        <v>0</v>
      </c>
      <c r="R918">
        <v>0</v>
      </c>
      <c r="S918" s="11">
        <v>1</v>
      </c>
      <c r="T918">
        <v>14474638</v>
      </c>
      <c r="U918" s="3">
        <v>0.81573399999999996</v>
      </c>
      <c r="V918">
        <v>8970921</v>
      </c>
      <c r="W918">
        <v>8773398</v>
      </c>
      <c r="X918">
        <v>9428</v>
      </c>
      <c r="Y918" s="3">
        <v>5.3132500000000003E-4</v>
      </c>
      <c r="Z918">
        <v>213646</v>
      </c>
      <c r="AA918">
        <v>38</v>
      </c>
    </row>
    <row r="919" spans="1:27" x14ac:dyDescent="0.3">
      <c r="A919" t="s">
        <v>256</v>
      </c>
      <c r="B919" t="s">
        <v>252</v>
      </c>
      <c r="C919" t="s">
        <v>43</v>
      </c>
      <c r="D919" t="s">
        <v>34</v>
      </c>
      <c r="E919" t="s">
        <v>309</v>
      </c>
      <c r="F919" t="s">
        <v>106</v>
      </c>
      <c r="G919">
        <v>1</v>
      </c>
      <c r="H919" t="s">
        <v>313</v>
      </c>
      <c r="I919">
        <v>16731467</v>
      </c>
      <c r="J919">
        <v>13745987</v>
      </c>
      <c r="K919" s="3">
        <v>0.82156499999999999</v>
      </c>
      <c r="L919">
        <v>9911368</v>
      </c>
      <c r="M919" s="3">
        <v>0.59237899999999999</v>
      </c>
      <c r="N919">
        <v>6820099</v>
      </c>
      <c r="O919" s="3">
        <v>0.40762100000000001</v>
      </c>
      <c r="P919">
        <v>0</v>
      </c>
      <c r="Q919" s="3">
        <v>0</v>
      </c>
      <c r="R919">
        <v>0</v>
      </c>
      <c r="S919" s="11">
        <v>1</v>
      </c>
      <c r="T919">
        <v>13739353</v>
      </c>
      <c r="U919" s="3">
        <v>0.82116900000000004</v>
      </c>
      <c r="V919">
        <v>8431086</v>
      </c>
      <c r="W919">
        <v>8300381</v>
      </c>
      <c r="X919">
        <v>6634</v>
      </c>
      <c r="Y919" s="3">
        <v>3.9649800000000001E-4</v>
      </c>
      <c r="Z919">
        <v>241623</v>
      </c>
      <c r="AA919">
        <v>41</v>
      </c>
    </row>
    <row r="920" spans="1:27" x14ac:dyDescent="0.3">
      <c r="A920" t="s">
        <v>256</v>
      </c>
      <c r="B920" t="s">
        <v>252</v>
      </c>
      <c r="C920" t="s">
        <v>140</v>
      </c>
      <c r="D920" t="s">
        <v>25</v>
      </c>
      <c r="E920" t="s">
        <v>308</v>
      </c>
      <c r="F920" t="s">
        <v>91</v>
      </c>
      <c r="G920">
        <v>1</v>
      </c>
      <c r="H920" t="s">
        <v>313</v>
      </c>
      <c r="I920">
        <v>16220848</v>
      </c>
      <c r="J920">
        <v>13446303</v>
      </c>
      <c r="K920" s="3">
        <v>0.82895200000000002</v>
      </c>
      <c r="L920">
        <v>9536028</v>
      </c>
      <c r="M920" s="3">
        <v>0.58788700000000005</v>
      </c>
      <c r="N920">
        <v>6684820</v>
      </c>
      <c r="O920" s="3">
        <v>0.41211300000000001</v>
      </c>
      <c r="P920">
        <v>0</v>
      </c>
      <c r="Q920" s="3">
        <v>0</v>
      </c>
      <c r="R920">
        <v>0</v>
      </c>
      <c r="S920" s="11">
        <v>1</v>
      </c>
      <c r="T920">
        <v>13440613</v>
      </c>
      <c r="U920" s="3">
        <v>0.82860100000000003</v>
      </c>
      <c r="V920">
        <v>8151214</v>
      </c>
      <c r="W920">
        <v>8069634</v>
      </c>
      <c r="X920">
        <v>5690</v>
      </c>
      <c r="Y920" s="3">
        <v>3.5078300000000002E-4</v>
      </c>
      <c r="Z920">
        <v>232542</v>
      </c>
      <c r="AA920">
        <v>41</v>
      </c>
    </row>
    <row r="921" spans="1:27" x14ac:dyDescent="0.3">
      <c r="A921" t="s">
        <v>256</v>
      </c>
      <c r="B921" t="s">
        <v>252</v>
      </c>
      <c r="C921" t="s">
        <v>140</v>
      </c>
      <c r="D921" t="s">
        <v>25</v>
      </c>
      <c r="E921" t="s">
        <v>308</v>
      </c>
      <c r="F921" t="s">
        <v>92</v>
      </c>
      <c r="G921">
        <v>1</v>
      </c>
      <c r="H921" t="s">
        <v>313</v>
      </c>
      <c r="I921">
        <v>17070063</v>
      </c>
      <c r="J921">
        <v>14172830</v>
      </c>
      <c r="K921" s="3">
        <v>0.83027399999999996</v>
      </c>
      <c r="L921">
        <v>10033407</v>
      </c>
      <c r="M921" s="3">
        <v>0.58777800000000002</v>
      </c>
      <c r="N921">
        <v>7036656</v>
      </c>
      <c r="O921" s="3">
        <v>0.41222199999999998</v>
      </c>
      <c r="P921">
        <v>0</v>
      </c>
      <c r="Q921" s="3">
        <v>0</v>
      </c>
      <c r="R921">
        <v>0</v>
      </c>
      <c r="S921" s="11">
        <v>1</v>
      </c>
      <c r="T921">
        <v>14166077</v>
      </c>
      <c r="U921" s="3">
        <v>0.829878</v>
      </c>
      <c r="V921">
        <v>8619868</v>
      </c>
      <c r="W921">
        <v>8450195</v>
      </c>
      <c r="X921">
        <v>6753</v>
      </c>
      <c r="Y921" s="3">
        <v>3.9560499999999999E-4</v>
      </c>
      <c r="Z921">
        <v>237332</v>
      </c>
      <c r="AA921">
        <v>41</v>
      </c>
    </row>
    <row r="922" spans="1:27" x14ac:dyDescent="0.3">
      <c r="A922" t="s">
        <v>256</v>
      </c>
      <c r="B922" t="s">
        <v>252</v>
      </c>
      <c r="C922" t="s">
        <v>140</v>
      </c>
      <c r="D922" t="s">
        <v>10</v>
      </c>
      <c r="E922" t="s">
        <v>305</v>
      </c>
      <c r="F922" t="s">
        <v>80</v>
      </c>
      <c r="G922">
        <v>1</v>
      </c>
      <c r="H922" t="s">
        <v>313</v>
      </c>
      <c r="I922">
        <v>16173306</v>
      </c>
      <c r="J922">
        <v>13439296</v>
      </c>
      <c r="K922" s="3">
        <v>0.830955</v>
      </c>
      <c r="L922">
        <v>9502169</v>
      </c>
      <c r="M922" s="3">
        <v>0.58752199999999999</v>
      </c>
      <c r="N922">
        <v>6671137</v>
      </c>
      <c r="O922" s="3">
        <v>0.41247800000000001</v>
      </c>
      <c r="P922">
        <v>0</v>
      </c>
      <c r="Q922" s="3">
        <v>0</v>
      </c>
      <c r="R922">
        <v>0</v>
      </c>
      <c r="S922" s="11">
        <v>1</v>
      </c>
      <c r="T922">
        <v>13432639</v>
      </c>
      <c r="U922" s="3">
        <v>0.83054399999999995</v>
      </c>
      <c r="V922">
        <v>8160548</v>
      </c>
      <c r="W922">
        <v>8012758</v>
      </c>
      <c r="X922">
        <v>6657</v>
      </c>
      <c r="Y922" s="3">
        <v>4.1160399999999998E-4</v>
      </c>
      <c r="Z922">
        <v>212391</v>
      </c>
      <c r="AA922">
        <v>40</v>
      </c>
    </row>
    <row r="923" spans="1:27" x14ac:dyDescent="0.3">
      <c r="A923" t="s">
        <v>256</v>
      </c>
      <c r="B923" t="s">
        <v>252</v>
      </c>
      <c r="C923" t="s">
        <v>140</v>
      </c>
      <c r="D923" t="s">
        <v>34</v>
      </c>
      <c r="E923" t="s">
        <v>309</v>
      </c>
      <c r="F923" t="s">
        <v>94</v>
      </c>
      <c r="G923">
        <v>1</v>
      </c>
      <c r="H923" t="s">
        <v>313</v>
      </c>
      <c r="I923">
        <v>16646699</v>
      </c>
      <c r="J923">
        <v>13866739</v>
      </c>
      <c r="K923" s="3">
        <v>0.83300200000000002</v>
      </c>
      <c r="L923">
        <v>9750440</v>
      </c>
      <c r="M923" s="3">
        <v>0.58572800000000003</v>
      </c>
      <c r="N923">
        <v>6896259</v>
      </c>
      <c r="O923" s="3">
        <v>0.41427199999999997</v>
      </c>
      <c r="P923">
        <v>0</v>
      </c>
      <c r="Q923" s="3">
        <v>0</v>
      </c>
      <c r="R923">
        <v>0</v>
      </c>
      <c r="S923" s="11">
        <v>1</v>
      </c>
      <c r="T923">
        <v>13859480</v>
      </c>
      <c r="U923" s="3">
        <v>0.83256600000000003</v>
      </c>
      <c r="V923">
        <v>8424526</v>
      </c>
      <c r="W923">
        <v>8222173</v>
      </c>
      <c r="X923">
        <v>7259</v>
      </c>
      <c r="Y923" s="3">
        <v>4.3606199999999997E-4</v>
      </c>
      <c r="Z923">
        <v>238520</v>
      </c>
      <c r="AA923">
        <v>41</v>
      </c>
    </row>
    <row r="924" spans="1:27" x14ac:dyDescent="0.3">
      <c r="A924" t="s">
        <v>256</v>
      </c>
      <c r="B924" t="s">
        <v>252</v>
      </c>
      <c r="C924" t="s">
        <v>140</v>
      </c>
      <c r="D924" t="s">
        <v>34</v>
      </c>
      <c r="E924" t="s">
        <v>309</v>
      </c>
      <c r="F924" t="s">
        <v>95</v>
      </c>
      <c r="G924">
        <v>1</v>
      </c>
      <c r="H924" t="s">
        <v>313</v>
      </c>
      <c r="I924">
        <v>21069537</v>
      </c>
      <c r="J924">
        <v>17609971</v>
      </c>
      <c r="K924" s="3">
        <v>0.83580299999999996</v>
      </c>
      <c r="L924">
        <v>12329845</v>
      </c>
      <c r="M924" s="3">
        <v>0.585198</v>
      </c>
      <c r="N924">
        <v>8739692</v>
      </c>
      <c r="O924" s="3">
        <v>0.414802</v>
      </c>
      <c r="P924">
        <v>0</v>
      </c>
      <c r="Q924" s="3">
        <v>0</v>
      </c>
      <c r="R924">
        <v>0</v>
      </c>
      <c r="S924" s="11">
        <v>1</v>
      </c>
      <c r="T924">
        <v>17603664</v>
      </c>
      <c r="U924" s="3">
        <v>0.835503</v>
      </c>
      <c r="V924">
        <v>10650283</v>
      </c>
      <c r="W924">
        <v>10419254</v>
      </c>
      <c r="X924">
        <v>6307</v>
      </c>
      <c r="Y924" s="3">
        <v>2.9934200000000002E-4</v>
      </c>
      <c r="Z924">
        <v>240663</v>
      </c>
      <c r="AA924">
        <v>42</v>
      </c>
    </row>
    <row r="925" spans="1:27" x14ac:dyDescent="0.3">
      <c r="A925" t="s">
        <v>256</v>
      </c>
      <c r="B925" t="s">
        <v>252</v>
      </c>
      <c r="C925" t="s">
        <v>43</v>
      </c>
      <c r="D925" t="s">
        <v>34</v>
      </c>
      <c r="E925" t="s">
        <v>309</v>
      </c>
      <c r="F925" t="s">
        <v>107</v>
      </c>
      <c r="G925">
        <v>1</v>
      </c>
      <c r="H925" t="s">
        <v>313</v>
      </c>
      <c r="I925">
        <v>17173741</v>
      </c>
      <c r="J925">
        <v>14363507</v>
      </c>
      <c r="K925" s="3">
        <v>0.83636500000000003</v>
      </c>
      <c r="L925">
        <v>10050754</v>
      </c>
      <c r="M925" s="3">
        <v>0.58523999999999998</v>
      </c>
      <c r="N925">
        <v>7122987</v>
      </c>
      <c r="O925" s="3">
        <v>0.41476000000000002</v>
      </c>
      <c r="P925">
        <v>0</v>
      </c>
      <c r="Q925" s="3">
        <v>0</v>
      </c>
      <c r="R925">
        <v>0</v>
      </c>
      <c r="S925" s="11">
        <v>1</v>
      </c>
      <c r="T925">
        <v>14357762</v>
      </c>
      <c r="U925" s="3">
        <v>0.83603000000000005</v>
      </c>
      <c r="V925">
        <v>8658062</v>
      </c>
      <c r="W925">
        <v>8515679</v>
      </c>
      <c r="X925">
        <v>5745</v>
      </c>
      <c r="Y925" s="3">
        <v>3.3452200000000002E-4</v>
      </c>
      <c r="Z925">
        <v>256924</v>
      </c>
      <c r="AA925">
        <v>42</v>
      </c>
    </row>
    <row r="926" spans="1:27" x14ac:dyDescent="0.3">
      <c r="A926" t="s">
        <v>256</v>
      </c>
      <c r="B926" t="s">
        <v>252</v>
      </c>
      <c r="C926" t="s">
        <v>43</v>
      </c>
      <c r="D926" t="s">
        <v>25</v>
      </c>
      <c r="E926" t="s">
        <v>308</v>
      </c>
      <c r="F926" t="s">
        <v>98</v>
      </c>
      <c r="G926">
        <v>1</v>
      </c>
      <c r="H926" t="s">
        <v>313</v>
      </c>
      <c r="I926">
        <v>18049726</v>
      </c>
      <c r="J926">
        <v>15099634</v>
      </c>
      <c r="K926" s="3">
        <v>0.83655800000000002</v>
      </c>
      <c r="L926">
        <v>10553631</v>
      </c>
      <c r="M926" s="3">
        <v>0.58469800000000005</v>
      </c>
      <c r="N926">
        <v>7496095</v>
      </c>
      <c r="O926" s="3">
        <v>0.415302</v>
      </c>
      <c r="P926">
        <v>0</v>
      </c>
      <c r="Q926" s="3">
        <v>0</v>
      </c>
      <c r="R926">
        <v>0</v>
      </c>
      <c r="S926" s="11">
        <v>1</v>
      </c>
      <c r="T926">
        <v>15093097</v>
      </c>
      <c r="U926" s="3">
        <v>0.83619500000000002</v>
      </c>
      <c r="V926">
        <v>9114533</v>
      </c>
      <c r="W926">
        <v>8935193</v>
      </c>
      <c r="X926">
        <v>6537</v>
      </c>
      <c r="Y926" s="3">
        <v>3.6216599999999997E-4</v>
      </c>
      <c r="Z926">
        <v>244380</v>
      </c>
      <c r="AA926">
        <v>41</v>
      </c>
    </row>
    <row r="927" spans="1:27" x14ac:dyDescent="0.3">
      <c r="A927" t="s">
        <v>256</v>
      </c>
      <c r="B927" t="s">
        <v>252</v>
      </c>
      <c r="C927" t="s">
        <v>43</v>
      </c>
      <c r="D927" t="s">
        <v>34</v>
      </c>
      <c r="E927" t="s">
        <v>309</v>
      </c>
      <c r="F927" t="s">
        <v>105</v>
      </c>
      <c r="G927">
        <v>1</v>
      </c>
      <c r="H927" t="s">
        <v>313</v>
      </c>
      <c r="I927">
        <v>17684418</v>
      </c>
      <c r="J927">
        <v>14811894</v>
      </c>
      <c r="K927" s="3">
        <v>0.83756799999999998</v>
      </c>
      <c r="L927">
        <v>10340299</v>
      </c>
      <c r="M927" s="3">
        <v>0.58471200000000001</v>
      </c>
      <c r="N927">
        <v>7344119</v>
      </c>
      <c r="O927" s="3">
        <v>0.41528799999999999</v>
      </c>
      <c r="P927">
        <v>0</v>
      </c>
      <c r="Q927" s="3">
        <v>0</v>
      </c>
      <c r="R927">
        <v>0</v>
      </c>
      <c r="S927" s="11">
        <v>1</v>
      </c>
      <c r="T927">
        <v>14804771</v>
      </c>
      <c r="U927" s="3">
        <v>0.83716500000000005</v>
      </c>
      <c r="V927">
        <v>8919008</v>
      </c>
      <c r="W927">
        <v>8765410</v>
      </c>
      <c r="X927">
        <v>7123</v>
      </c>
      <c r="Y927" s="3">
        <v>4.02784E-4</v>
      </c>
      <c r="Z927">
        <v>262886</v>
      </c>
      <c r="AA927">
        <v>42</v>
      </c>
    </row>
    <row r="928" spans="1:27" x14ac:dyDescent="0.3">
      <c r="A928" t="s">
        <v>256</v>
      </c>
      <c r="B928" t="s">
        <v>252</v>
      </c>
      <c r="C928" t="s">
        <v>140</v>
      </c>
      <c r="D928" t="s">
        <v>25</v>
      </c>
      <c r="E928" t="s">
        <v>308</v>
      </c>
      <c r="F928" t="s">
        <v>89</v>
      </c>
      <c r="G928">
        <v>1</v>
      </c>
      <c r="H928" t="s">
        <v>313</v>
      </c>
      <c r="I928">
        <v>16876809</v>
      </c>
      <c r="J928">
        <v>14277309</v>
      </c>
      <c r="K928" s="3">
        <v>0.84597199999999995</v>
      </c>
      <c r="L928">
        <v>9791676</v>
      </c>
      <c r="M928" s="3">
        <v>0.58018499999999995</v>
      </c>
      <c r="N928">
        <v>7085133</v>
      </c>
      <c r="O928" s="3">
        <v>0.41981499999999999</v>
      </c>
      <c r="P928">
        <v>0</v>
      </c>
      <c r="Q928" s="3">
        <v>0</v>
      </c>
      <c r="R928">
        <v>0</v>
      </c>
      <c r="S928" s="11">
        <v>1</v>
      </c>
      <c r="T928">
        <v>14272415</v>
      </c>
      <c r="U928" s="3">
        <v>0.84568200000000004</v>
      </c>
      <c r="V928">
        <v>8495774</v>
      </c>
      <c r="W928">
        <v>8381035</v>
      </c>
      <c r="X928">
        <v>4894</v>
      </c>
      <c r="Y928" s="3">
        <v>2.8998400000000002E-4</v>
      </c>
      <c r="Z928">
        <v>253807</v>
      </c>
      <c r="AA928">
        <v>43</v>
      </c>
    </row>
    <row r="929" spans="1:27" x14ac:dyDescent="0.3">
      <c r="A929" t="s">
        <v>256</v>
      </c>
      <c r="B929" t="s">
        <v>252</v>
      </c>
      <c r="C929" t="s">
        <v>140</v>
      </c>
      <c r="D929" t="s">
        <v>25</v>
      </c>
      <c r="E929" t="s">
        <v>308</v>
      </c>
      <c r="F929" t="s">
        <v>90</v>
      </c>
      <c r="G929">
        <v>1</v>
      </c>
      <c r="H929" t="s">
        <v>313</v>
      </c>
      <c r="I929">
        <v>20249112</v>
      </c>
      <c r="J929">
        <v>17258977</v>
      </c>
      <c r="K929" s="3">
        <v>0.85233199999999998</v>
      </c>
      <c r="L929">
        <v>11688502</v>
      </c>
      <c r="M929" s="3">
        <v>0.57723500000000005</v>
      </c>
      <c r="N929">
        <v>8560610</v>
      </c>
      <c r="O929" s="3">
        <v>0.422765</v>
      </c>
      <c r="P929">
        <v>0</v>
      </c>
      <c r="Q929" s="3">
        <v>0</v>
      </c>
      <c r="R929">
        <v>0</v>
      </c>
      <c r="S929" s="11">
        <v>1</v>
      </c>
      <c r="T929">
        <v>17253075</v>
      </c>
      <c r="U929" s="3">
        <v>0.85204100000000005</v>
      </c>
      <c r="V929">
        <v>10227662</v>
      </c>
      <c r="W929">
        <v>10021450</v>
      </c>
      <c r="X929">
        <v>5902</v>
      </c>
      <c r="Y929" s="3">
        <v>2.9147E-4</v>
      </c>
      <c r="Z929">
        <v>259703</v>
      </c>
      <c r="AA929">
        <v>44</v>
      </c>
    </row>
    <row r="930" spans="1:27" x14ac:dyDescent="0.3">
      <c r="A930" t="s">
        <v>256</v>
      </c>
      <c r="B930" t="s">
        <v>252</v>
      </c>
      <c r="C930" t="s">
        <v>140</v>
      </c>
      <c r="D930" t="s">
        <v>34</v>
      </c>
      <c r="E930" t="s">
        <v>309</v>
      </c>
      <c r="F930" t="s">
        <v>96</v>
      </c>
      <c r="G930">
        <v>1</v>
      </c>
      <c r="H930" t="s">
        <v>313</v>
      </c>
      <c r="I930">
        <v>16746225</v>
      </c>
      <c r="J930">
        <v>14303222</v>
      </c>
      <c r="K930" s="3">
        <v>0.85411599999999999</v>
      </c>
      <c r="L930">
        <v>9653107</v>
      </c>
      <c r="M930" s="3">
        <v>0.57643500000000003</v>
      </c>
      <c r="N930">
        <v>7093118</v>
      </c>
      <c r="O930" s="3">
        <v>0.42356500000000002</v>
      </c>
      <c r="P930">
        <v>0</v>
      </c>
      <c r="Q930" s="3">
        <v>0</v>
      </c>
      <c r="R930">
        <v>0</v>
      </c>
      <c r="S930" s="11">
        <v>1</v>
      </c>
      <c r="T930">
        <v>14298461</v>
      </c>
      <c r="U930" s="3">
        <v>0.85383200000000004</v>
      </c>
      <c r="V930">
        <v>8423222</v>
      </c>
      <c r="W930">
        <v>8323003</v>
      </c>
      <c r="X930">
        <v>4761</v>
      </c>
      <c r="Y930" s="3">
        <v>2.8430300000000002E-4</v>
      </c>
      <c r="Z930">
        <v>259237</v>
      </c>
      <c r="AA930">
        <v>44</v>
      </c>
    </row>
    <row r="931" spans="1:27" x14ac:dyDescent="0.3">
      <c r="A931" t="s">
        <v>256</v>
      </c>
      <c r="B931" t="s">
        <v>252</v>
      </c>
      <c r="C931" t="s">
        <v>43</v>
      </c>
      <c r="D931" t="s">
        <v>25</v>
      </c>
      <c r="E931" t="s">
        <v>308</v>
      </c>
      <c r="F931" t="s">
        <v>102</v>
      </c>
      <c r="G931">
        <v>1</v>
      </c>
      <c r="H931" t="s">
        <v>313</v>
      </c>
      <c r="I931">
        <v>27565352</v>
      </c>
      <c r="J931">
        <v>23614669</v>
      </c>
      <c r="K931" s="3">
        <v>0.85667899999999997</v>
      </c>
      <c r="L931">
        <v>15843822</v>
      </c>
      <c r="M931" s="3">
        <v>0.57477299999999998</v>
      </c>
      <c r="N931">
        <v>11721530</v>
      </c>
      <c r="O931" s="3">
        <v>0.42522700000000002</v>
      </c>
      <c r="P931">
        <v>0</v>
      </c>
      <c r="Q931" s="3">
        <v>0</v>
      </c>
      <c r="R931">
        <v>0</v>
      </c>
      <c r="S931" s="11">
        <v>1</v>
      </c>
      <c r="T931">
        <v>23608501</v>
      </c>
      <c r="U931" s="3">
        <v>0.856456</v>
      </c>
      <c r="V931">
        <v>13861555</v>
      </c>
      <c r="W931">
        <v>13703797</v>
      </c>
      <c r="X931">
        <v>6168</v>
      </c>
      <c r="Y931" s="3">
        <v>2.23759E-4</v>
      </c>
      <c r="Z931">
        <v>287474</v>
      </c>
      <c r="AA931">
        <v>43</v>
      </c>
    </row>
    <row r="932" spans="1:27" x14ac:dyDescent="0.3">
      <c r="A932" t="s">
        <v>256</v>
      </c>
      <c r="B932" t="s">
        <v>252</v>
      </c>
      <c r="C932" t="s">
        <v>43</v>
      </c>
      <c r="D932" t="s">
        <v>25</v>
      </c>
      <c r="E932" t="s">
        <v>308</v>
      </c>
      <c r="F932" t="s">
        <v>101</v>
      </c>
      <c r="G932">
        <v>1</v>
      </c>
      <c r="H932" t="s">
        <v>313</v>
      </c>
      <c r="I932">
        <v>17845054</v>
      </c>
      <c r="J932">
        <v>15371378</v>
      </c>
      <c r="K932" s="3">
        <v>0.86138000000000003</v>
      </c>
      <c r="L932">
        <v>10212417</v>
      </c>
      <c r="M932" s="3">
        <v>0.57228299999999999</v>
      </c>
      <c r="N932">
        <v>7632637</v>
      </c>
      <c r="O932" s="3">
        <v>0.42771700000000001</v>
      </c>
      <c r="P932">
        <v>0</v>
      </c>
      <c r="Q932" s="3">
        <v>0</v>
      </c>
      <c r="R932">
        <v>0</v>
      </c>
      <c r="S932" s="11">
        <v>1</v>
      </c>
      <c r="T932">
        <v>15365442</v>
      </c>
      <c r="U932" s="3">
        <v>0.86104800000000004</v>
      </c>
      <c r="V932">
        <v>8960806</v>
      </c>
      <c r="W932">
        <v>8884248</v>
      </c>
      <c r="X932">
        <v>5936</v>
      </c>
      <c r="Y932" s="3">
        <v>3.32641E-4</v>
      </c>
      <c r="Z932">
        <v>289492</v>
      </c>
      <c r="AA932">
        <v>44</v>
      </c>
    </row>
    <row r="933" spans="1:27" x14ac:dyDescent="0.3">
      <c r="A933" t="s">
        <v>256</v>
      </c>
      <c r="B933" t="s">
        <v>88</v>
      </c>
      <c r="C933" t="s">
        <v>43</v>
      </c>
      <c r="D933" t="s">
        <v>10</v>
      </c>
      <c r="E933" t="s">
        <v>305</v>
      </c>
      <c r="F933" t="s">
        <v>157</v>
      </c>
      <c r="G933">
        <v>2</v>
      </c>
      <c r="H933" t="s">
        <v>313</v>
      </c>
      <c r="I933">
        <v>17741387</v>
      </c>
      <c r="J933">
        <v>6816772</v>
      </c>
      <c r="K933" s="3">
        <v>0.38423000000000002</v>
      </c>
      <c r="L933">
        <v>14284954</v>
      </c>
      <c r="M933" s="3">
        <v>0.80517700000000003</v>
      </c>
      <c r="N933">
        <v>3456433</v>
      </c>
      <c r="O933" s="3">
        <v>0.194823</v>
      </c>
      <c r="P933">
        <v>0</v>
      </c>
      <c r="Q933" s="3">
        <v>0</v>
      </c>
      <c r="R933">
        <v>0</v>
      </c>
      <c r="S933" s="3">
        <v>1</v>
      </c>
      <c r="T933">
        <v>6638445</v>
      </c>
      <c r="U933" s="3">
        <v>0.36967699999999998</v>
      </c>
      <c r="V933">
        <v>8839476</v>
      </c>
      <c r="W933">
        <v>8901911</v>
      </c>
      <c r="X933">
        <v>178327</v>
      </c>
      <c r="Y933" s="3">
        <v>1.00515E-2</v>
      </c>
      <c r="Z933">
        <v>4394.13</v>
      </c>
      <c r="AA933">
        <v>21</v>
      </c>
    </row>
    <row r="934" spans="1:27" x14ac:dyDescent="0.3">
      <c r="A934" t="s">
        <v>256</v>
      </c>
      <c r="B934" t="s">
        <v>88</v>
      </c>
      <c r="C934" t="s">
        <v>43</v>
      </c>
      <c r="D934" t="s">
        <v>10</v>
      </c>
      <c r="E934" t="s">
        <v>305</v>
      </c>
      <c r="F934" t="s">
        <v>158</v>
      </c>
      <c r="G934">
        <v>2</v>
      </c>
      <c r="H934" t="s">
        <v>313</v>
      </c>
      <c r="I934">
        <v>16055563</v>
      </c>
      <c r="J934">
        <v>6775909</v>
      </c>
      <c r="K934" s="3">
        <v>0.42202899999999999</v>
      </c>
      <c r="L934">
        <v>12631459</v>
      </c>
      <c r="M934" s="3">
        <v>0.78673400000000004</v>
      </c>
      <c r="N934">
        <v>3424104</v>
      </c>
      <c r="O934" s="3">
        <v>0.21326600000000001</v>
      </c>
      <c r="P934">
        <v>0</v>
      </c>
      <c r="Q934" s="3">
        <v>0</v>
      </c>
      <c r="R934">
        <v>0</v>
      </c>
      <c r="S934" s="3">
        <v>1</v>
      </c>
      <c r="T934">
        <v>6633415</v>
      </c>
      <c r="U934" s="3">
        <v>0.41315400000000002</v>
      </c>
      <c r="V934">
        <v>8005273</v>
      </c>
      <c r="W934">
        <v>8050290</v>
      </c>
      <c r="X934">
        <v>142494</v>
      </c>
      <c r="Y934" s="3">
        <v>8.8750500000000006E-3</v>
      </c>
      <c r="Z934">
        <v>4815.8599999999997</v>
      </c>
      <c r="AA934">
        <v>21</v>
      </c>
    </row>
    <row r="935" spans="1:27" x14ac:dyDescent="0.3">
      <c r="A935" t="s">
        <v>256</v>
      </c>
      <c r="B935" t="s">
        <v>88</v>
      </c>
      <c r="C935" t="s">
        <v>140</v>
      </c>
      <c r="D935" t="s">
        <v>15</v>
      </c>
      <c r="E935" t="s">
        <v>306</v>
      </c>
      <c r="F935" t="s">
        <v>153</v>
      </c>
      <c r="G935">
        <v>2</v>
      </c>
      <c r="H935" t="s">
        <v>313</v>
      </c>
      <c r="I935">
        <v>37639478</v>
      </c>
      <c r="J935">
        <v>16146974</v>
      </c>
      <c r="K935" s="3">
        <v>0.42898999999999998</v>
      </c>
      <c r="L935">
        <v>29489701</v>
      </c>
      <c r="M935" s="3">
        <v>0.78347800000000001</v>
      </c>
      <c r="N935">
        <v>8149777</v>
      </c>
      <c r="O935" s="3">
        <v>0.21652199999999999</v>
      </c>
      <c r="P935">
        <v>0</v>
      </c>
      <c r="Q935" s="3">
        <v>0</v>
      </c>
      <c r="R935">
        <v>0</v>
      </c>
      <c r="S935" s="3">
        <v>1</v>
      </c>
      <c r="T935">
        <v>15836251</v>
      </c>
      <c r="U935" s="3">
        <v>0.42073500000000003</v>
      </c>
      <c r="V935">
        <v>18772580</v>
      </c>
      <c r="W935">
        <v>18866898</v>
      </c>
      <c r="X935">
        <v>310723</v>
      </c>
      <c r="Y935" s="3">
        <v>8.2552400000000005E-3</v>
      </c>
      <c r="Z935">
        <v>4129.5600000000004</v>
      </c>
      <c r="AA935">
        <v>21</v>
      </c>
    </row>
    <row r="936" spans="1:27" x14ac:dyDescent="0.3">
      <c r="A936" t="s">
        <v>256</v>
      </c>
      <c r="B936" t="s">
        <v>88</v>
      </c>
      <c r="C936" t="s">
        <v>140</v>
      </c>
      <c r="D936" t="s">
        <v>15</v>
      </c>
      <c r="E936" t="s">
        <v>306</v>
      </c>
      <c r="F936" t="s">
        <v>154</v>
      </c>
      <c r="G936">
        <v>2</v>
      </c>
      <c r="H936" t="s">
        <v>313</v>
      </c>
      <c r="I936">
        <v>24715851</v>
      </c>
      <c r="J936">
        <v>10619137</v>
      </c>
      <c r="K936" s="3">
        <v>0.429649</v>
      </c>
      <c r="L936">
        <v>19350847</v>
      </c>
      <c r="M936" s="3">
        <v>0.78293299999999999</v>
      </c>
      <c r="N936">
        <v>5365004</v>
      </c>
      <c r="O936" s="3">
        <v>0.21706700000000001</v>
      </c>
      <c r="P936">
        <v>0</v>
      </c>
      <c r="Q936" s="3">
        <v>0</v>
      </c>
      <c r="R936">
        <v>0</v>
      </c>
      <c r="S936" s="3">
        <v>1</v>
      </c>
      <c r="T936">
        <v>10406795</v>
      </c>
      <c r="U936" s="3">
        <v>0.42105799999999999</v>
      </c>
      <c r="V936">
        <v>12324259</v>
      </c>
      <c r="W936">
        <v>12391592</v>
      </c>
      <c r="X936">
        <v>212342</v>
      </c>
      <c r="Y936" s="3">
        <v>8.5913299999999995E-3</v>
      </c>
      <c r="Z936">
        <v>4012.69</v>
      </c>
      <c r="AA936">
        <v>21</v>
      </c>
    </row>
    <row r="937" spans="1:27" x14ac:dyDescent="0.3">
      <c r="A937" t="s">
        <v>256</v>
      </c>
      <c r="B937" t="s">
        <v>88</v>
      </c>
      <c r="C937" t="s">
        <v>43</v>
      </c>
      <c r="D937" t="s">
        <v>10</v>
      </c>
      <c r="E937" t="s">
        <v>305</v>
      </c>
      <c r="F937" t="s">
        <v>159</v>
      </c>
      <c r="G937">
        <v>2</v>
      </c>
      <c r="H937" t="s">
        <v>313</v>
      </c>
      <c r="I937">
        <v>20821646</v>
      </c>
      <c r="J937">
        <v>9231599</v>
      </c>
      <c r="K937" s="3">
        <v>0.44336500000000001</v>
      </c>
      <c r="L937">
        <v>16159740</v>
      </c>
      <c r="M937" s="3">
        <v>0.77610299999999999</v>
      </c>
      <c r="N937">
        <v>4661906</v>
      </c>
      <c r="O937" s="3">
        <v>0.22389700000000001</v>
      </c>
      <c r="P937">
        <v>0</v>
      </c>
      <c r="Q937" s="3">
        <v>0</v>
      </c>
      <c r="R937">
        <v>0</v>
      </c>
      <c r="S937" s="3">
        <v>1</v>
      </c>
      <c r="T937">
        <v>9019345</v>
      </c>
      <c r="U937" s="3">
        <v>0.433172</v>
      </c>
      <c r="V937">
        <v>10374492</v>
      </c>
      <c r="W937">
        <v>10447154</v>
      </c>
      <c r="X937">
        <v>212254</v>
      </c>
      <c r="Y937" s="3">
        <v>1.0193900000000001E-2</v>
      </c>
      <c r="Z937">
        <v>5780.08</v>
      </c>
      <c r="AA937">
        <v>21</v>
      </c>
    </row>
    <row r="938" spans="1:27" x14ac:dyDescent="0.3">
      <c r="A938" t="s">
        <v>256</v>
      </c>
      <c r="B938" t="s">
        <v>88</v>
      </c>
      <c r="C938" t="s">
        <v>43</v>
      </c>
      <c r="D938" t="s">
        <v>15</v>
      </c>
      <c r="E938" t="s">
        <v>306</v>
      </c>
      <c r="F938" t="s">
        <v>161</v>
      </c>
      <c r="G938">
        <v>2</v>
      </c>
      <c r="H938" t="s">
        <v>313</v>
      </c>
      <c r="I938">
        <v>25295055</v>
      </c>
      <c r="J938">
        <v>11453216</v>
      </c>
      <c r="K938" s="3">
        <v>0.45278499999999999</v>
      </c>
      <c r="L938">
        <v>19514901</v>
      </c>
      <c r="M938" s="3">
        <v>0.77149100000000004</v>
      </c>
      <c r="N938">
        <v>5780154</v>
      </c>
      <c r="O938" s="3">
        <v>0.22850899999999999</v>
      </c>
      <c r="P938">
        <v>0</v>
      </c>
      <c r="Q938" s="3">
        <v>0</v>
      </c>
      <c r="R938">
        <v>0</v>
      </c>
      <c r="S938" s="3">
        <v>1</v>
      </c>
      <c r="T938">
        <v>11247527</v>
      </c>
      <c r="U938" s="3">
        <v>0.44465300000000002</v>
      </c>
      <c r="V938">
        <v>12617989</v>
      </c>
      <c r="W938">
        <v>12677066</v>
      </c>
      <c r="X938">
        <v>205689</v>
      </c>
      <c r="Y938" s="3">
        <v>8.1315899999999993E-3</v>
      </c>
      <c r="Z938">
        <v>4745.3900000000003</v>
      </c>
      <c r="AA938">
        <v>21</v>
      </c>
    </row>
    <row r="939" spans="1:27" x14ac:dyDescent="0.3">
      <c r="A939" t="s">
        <v>256</v>
      </c>
      <c r="B939" t="s">
        <v>88</v>
      </c>
      <c r="C939" t="s">
        <v>140</v>
      </c>
      <c r="D939" t="s">
        <v>20</v>
      </c>
      <c r="E939" t="s">
        <v>307</v>
      </c>
      <c r="F939" t="s">
        <v>155</v>
      </c>
      <c r="G939">
        <v>2</v>
      </c>
      <c r="H939" t="s">
        <v>313</v>
      </c>
      <c r="I939">
        <v>69173640</v>
      </c>
      <c r="J939">
        <v>31501018</v>
      </c>
      <c r="K939" s="3">
        <v>0.45539000000000002</v>
      </c>
      <c r="L939">
        <v>53261629</v>
      </c>
      <c r="M939" s="3">
        <v>0.76997000000000004</v>
      </c>
      <c r="N939">
        <v>15912011</v>
      </c>
      <c r="O939" s="3">
        <v>0.23003000000000001</v>
      </c>
      <c r="P939">
        <v>0</v>
      </c>
      <c r="Q939" s="3">
        <v>0</v>
      </c>
      <c r="R939">
        <v>0</v>
      </c>
      <c r="S939" s="3">
        <v>1</v>
      </c>
      <c r="T939">
        <v>30910000</v>
      </c>
      <c r="U939" s="3">
        <v>0.44684699999999999</v>
      </c>
      <c r="V939">
        <v>34497860</v>
      </c>
      <c r="W939">
        <v>34675780</v>
      </c>
      <c r="X939">
        <v>591018</v>
      </c>
      <c r="Y939" s="3">
        <v>8.5439799999999996E-3</v>
      </c>
      <c r="Z939">
        <v>5641.7</v>
      </c>
      <c r="AA939">
        <v>21</v>
      </c>
    </row>
    <row r="940" spans="1:27" x14ac:dyDescent="0.3">
      <c r="A940" t="s">
        <v>256</v>
      </c>
      <c r="B940" t="s">
        <v>88</v>
      </c>
      <c r="C940" t="s">
        <v>140</v>
      </c>
      <c r="D940" t="s">
        <v>10</v>
      </c>
      <c r="E940" t="s">
        <v>305</v>
      </c>
      <c r="F940" t="s">
        <v>75</v>
      </c>
      <c r="G940">
        <v>1</v>
      </c>
      <c r="H940" t="s">
        <v>313</v>
      </c>
      <c r="I940">
        <v>11066740</v>
      </c>
      <c r="J940">
        <v>5084715</v>
      </c>
      <c r="K940" s="3">
        <v>0.45945900000000001</v>
      </c>
      <c r="L940">
        <v>8473883</v>
      </c>
      <c r="M940" s="3">
        <v>0.76570700000000003</v>
      </c>
      <c r="N940">
        <v>2592857</v>
      </c>
      <c r="O940" s="3">
        <v>0.234293</v>
      </c>
      <c r="P940">
        <v>0</v>
      </c>
      <c r="Q940" s="3">
        <v>0</v>
      </c>
      <c r="R940">
        <v>0</v>
      </c>
      <c r="S940" s="3">
        <v>1</v>
      </c>
      <c r="T940">
        <v>4994582</v>
      </c>
      <c r="U940" s="3">
        <v>0.45131500000000002</v>
      </c>
      <c r="V940">
        <v>5533474</v>
      </c>
      <c r="W940">
        <v>5533266</v>
      </c>
      <c r="X940">
        <v>90133</v>
      </c>
      <c r="Y940" s="3">
        <v>8.1444900000000008E-3</v>
      </c>
      <c r="Z940">
        <v>6596.29</v>
      </c>
      <c r="AA940">
        <v>21</v>
      </c>
    </row>
    <row r="941" spans="1:27" x14ac:dyDescent="0.3">
      <c r="A941" t="s">
        <v>256</v>
      </c>
      <c r="B941" t="s">
        <v>88</v>
      </c>
      <c r="C941" t="s">
        <v>140</v>
      </c>
      <c r="D941" t="s">
        <v>10</v>
      </c>
      <c r="E941" t="s">
        <v>305</v>
      </c>
      <c r="F941" t="s">
        <v>151</v>
      </c>
      <c r="G941">
        <v>2</v>
      </c>
      <c r="H941" t="s">
        <v>313</v>
      </c>
      <c r="I941">
        <v>19700873</v>
      </c>
      <c r="J941">
        <v>9075055</v>
      </c>
      <c r="K941" s="3">
        <v>0.460642</v>
      </c>
      <c r="L941">
        <v>15116399</v>
      </c>
      <c r="M941" s="3">
        <v>0.76729599999999998</v>
      </c>
      <c r="N941">
        <v>4584474</v>
      </c>
      <c r="O941" s="3">
        <v>0.23270399999999999</v>
      </c>
      <c r="P941">
        <v>0</v>
      </c>
      <c r="Q941" s="3">
        <v>0</v>
      </c>
      <c r="R941">
        <v>0</v>
      </c>
      <c r="S941" s="3">
        <v>1</v>
      </c>
      <c r="T941">
        <v>8908701</v>
      </c>
      <c r="U941" s="3">
        <v>0.45219799999999999</v>
      </c>
      <c r="V941">
        <v>9823000</v>
      </c>
      <c r="W941">
        <v>9877873</v>
      </c>
      <c r="X941">
        <v>166354</v>
      </c>
      <c r="Y941" s="3">
        <v>8.4439900000000002E-3</v>
      </c>
      <c r="Z941">
        <v>4772.3900000000003</v>
      </c>
      <c r="AA941">
        <v>21</v>
      </c>
    </row>
    <row r="942" spans="1:27" x14ac:dyDescent="0.3">
      <c r="A942" t="s">
        <v>256</v>
      </c>
      <c r="B942" t="s">
        <v>88</v>
      </c>
      <c r="C942" t="s">
        <v>43</v>
      </c>
      <c r="D942" t="s">
        <v>15</v>
      </c>
      <c r="E942" t="s">
        <v>306</v>
      </c>
      <c r="F942" t="s">
        <v>160</v>
      </c>
      <c r="G942">
        <v>2</v>
      </c>
      <c r="H942" t="s">
        <v>313</v>
      </c>
      <c r="I942">
        <v>34176093</v>
      </c>
      <c r="J942">
        <v>15766341</v>
      </c>
      <c r="K942" s="3">
        <v>0.46132699999999999</v>
      </c>
      <c r="L942">
        <v>26214558</v>
      </c>
      <c r="M942" s="3">
        <v>0.76704399999999995</v>
      </c>
      <c r="N942">
        <v>7961535</v>
      </c>
      <c r="O942" s="3">
        <v>0.232956</v>
      </c>
      <c r="P942">
        <v>0</v>
      </c>
      <c r="Q942" s="3">
        <v>0</v>
      </c>
      <c r="R942">
        <v>0</v>
      </c>
      <c r="S942" s="3">
        <v>1</v>
      </c>
      <c r="T942">
        <v>15457171</v>
      </c>
      <c r="U942" s="3">
        <v>0.45228000000000002</v>
      </c>
      <c r="V942">
        <v>17038844</v>
      </c>
      <c r="W942">
        <v>17137249</v>
      </c>
      <c r="X942">
        <v>309170</v>
      </c>
      <c r="Y942" s="3">
        <v>9.0463799999999997E-3</v>
      </c>
      <c r="Z942">
        <v>5940.09</v>
      </c>
      <c r="AA942">
        <v>21</v>
      </c>
    </row>
    <row r="943" spans="1:27" x14ac:dyDescent="0.3">
      <c r="A943" t="s">
        <v>256</v>
      </c>
      <c r="B943" t="s">
        <v>88</v>
      </c>
      <c r="C943" t="s">
        <v>140</v>
      </c>
      <c r="D943" t="s">
        <v>20</v>
      </c>
      <c r="E943" t="s">
        <v>307</v>
      </c>
      <c r="F943" t="s">
        <v>156</v>
      </c>
      <c r="G943">
        <v>2</v>
      </c>
      <c r="H943" t="s">
        <v>313</v>
      </c>
      <c r="I943">
        <v>26227894</v>
      </c>
      <c r="J943">
        <v>12143248</v>
      </c>
      <c r="K943" s="3">
        <v>0.46299000000000001</v>
      </c>
      <c r="L943">
        <v>20101777</v>
      </c>
      <c r="M943" s="3">
        <v>0.76642699999999997</v>
      </c>
      <c r="N943">
        <v>6126117</v>
      </c>
      <c r="O943" s="3">
        <v>0.233573</v>
      </c>
      <c r="P943">
        <v>0</v>
      </c>
      <c r="Q943" s="3">
        <v>0</v>
      </c>
      <c r="R943">
        <v>0</v>
      </c>
      <c r="S943" s="3">
        <v>1</v>
      </c>
      <c r="T943">
        <v>11909304</v>
      </c>
      <c r="U943" s="3">
        <v>0.45406999999999997</v>
      </c>
      <c r="V943">
        <v>13074507</v>
      </c>
      <c r="W943">
        <v>13153387</v>
      </c>
      <c r="X943">
        <v>233944</v>
      </c>
      <c r="Y943" s="3">
        <v>8.9196599999999994E-3</v>
      </c>
      <c r="Z943">
        <v>5526.22</v>
      </c>
      <c r="AA943">
        <v>21</v>
      </c>
    </row>
    <row r="944" spans="1:27" x14ac:dyDescent="0.3">
      <c r="A944" t="s">
        <v>256</v>
      </c>
      <c r="B944" t="s">
        <v>88</v>
      </c>
      <c r="C944" t="s">
        <v>140</v>
      </c>
      <c r="D944" t="s">
        <v>15</v>
      </c>
      <c r="E944" t="s">
        <v>306</v>
      </c>
      <c r="F944" t="s">
        <v>83</v>
      </c>
      <c r="G944">
        <v>1</v>
      </c>
      <c r="H944" t="s">
        <v>313</v>
      </c>
      <c r="I944">
        <v>9804930</v>
      </c>
      <c r="J944">
        <v>4590739</v>
      </c>
      <c r="K944" s="3">
        <v>0.46820699999999998</v>
      </c>
      <c r="L944">
        <v>7468582</v>
      </c>
      <c r="M944" s="3">
        <v>0.76171699999999998</v>
      </c>
      <c r="N944">
        <v>2336348</v>
      </c>
      <c r="O944" s="3">
        <v>0.23828299999999999</v>
      </c>
      <c r="P944">
        <v>0</v>
      </c>
      <c r="Q944" s="3">
        <v>0</v>
      </c>
      <c r="R944">
        <v>0</v>
      </c>
      <c r="S944" s="3">
        <v>1</v>
      </c>
      <c r="T944">
        <v>4512190</v>
      </c>
      <c r="U944" s="3">
        <v>0.46019599999999999</v>
      </c>
      <c r="V944">
        <v>4900883</v>
      </c>
      <c r="W944">
        <v>4904047</v>
      </c>
      <c r="X944">
        <v>78549</v>
      </c>
      <c r="Y944" s="3">
        <v>8.0111699999999997E-3</v>
      </c>
      <c r="Z944">
        <v>5237.1000000000004</v>
      </c>
      <c r="AA944">
        <v>21</v>
      </c>
    </row>
    <row r="945" spans="1:27" x14ac:dyDescent="0.3">
      <c r="A945" t="s">
        <v>256</v>
      </c>
      <c r="B945" t="s">
        <v>88</v>
      </c>
      <c r="C945" t="s">
        <v>140</v>
      </c>
      <c r="D945" t="s">
        <v>15</v>
      </c>
      <c r="E945" t="s">
        <v>306</v>
      </c>
      <c r="F945" t="s">
        <v>82</v>
      </c>
      <c r="G945">
        <v>1</v>
      </c>
      <c r="H945" t="s">
        <v>313</v>
      </c>
      <c r="I945">
        <v>10629663</v>
      </c>
      <c r="J945">
        <v>4983595</v>
      </c>
      <c r="K945" s="3">
        <v>0.46883900000000001</v>
      </c>
      <c r="L945">
        <v>8094751</v>
      </c>
      <c r="M945" s="3">
        <v>0.76152500000000001</v>
      </c>
      <c r="N945">
        <v>2534912</v>
      </c>
      <c r="O945" s="3">
        <v>0.23847499999999999</v>
      </c>
      <c r="P945">
        <v>0</v>
      </c>
      <c r="Q945" s="3">
        <v>0</v>
      </c>
      <c r="R945">
        <v>0</v>
      </c>
      <c r="S945" s="3">
        <v>1</v>
      </c>
      <c r="T945">
        <v>4907337</v>
      </c>
      <c r="U945" s="3">
        <v>0.46166400000000002</v>
      </c>
      <c r="V945">
        <v>5314919</v>
      </c>
      <c r="W945">
        <v>5314744</v>
      </c>
      <c r="X945">
        <v>76258</v>
      </c>
      <c r="Y945" s="3">
        <v>7.1740800000000002E-3</v>
      </c>
      <c r="Z945">
        <v>5585.01</v>
      </c>
      <c r="AA945">
        <v>21</v>
      </c>
    </row>
    <row r="946" spans="1:27" x14ac:dyDescent="0.3">
      <c r="A946" t="s">
        <v>256</v>
      </c>
      <c r="B946" t="s">
        <v>88</v>
      </c>
      <c r="C946" t="s">
        <v>140</v>
      </c>
      <c r="D946" t="s">
        <v>20</v>
      </c>
      <c r="E946" t="s">
        <v>307</v>
      </c>
      <c r="F946" t="s">
        <v>85</v>
      </c>
      <c r="G946">
        <v>1</v>
      </c>
      <c r="H946" t="s">
        <v>313</v>
      </c>
      <c r="I946">
        <v>10107118</v>
      </c>
      <c r="J946">
        <v>4762314</v>
      </c>
      <c r="K946" s="3">
        <v>0.47118399999999999</v>
      </c>
      <c r="L946">
        <v>7685660</v>
      </c>
      <c r="M946" s="3">
        <v>0.76042100000000001</v>
      </c>
      <c r="N946">
        <v>2421458</v>
      </c>
      <c r="O946" s="3">
        <v>0.23957899999999999</v>
      </c>
      <c r="P946">
        <v>0</v>
      </c>
      <c r="Q946" s="3">
        <v>0</v>
      </c>
      <c r="R946">
        <v>0</v>
      </c>
      <c r="S946" s="3">
        <v>1</v>
      </c>
      <c r="T946">
        <v>4690811</v>
      </c>
      <c r="U946" s="3">
        <v>0.46411000000000002</v>
      </c>
      <c r="V946">
        <v>5051617</v>
      </c>
      <c r="W946">
        <v>5055501</v>
      </c>
      <c r="X946">
        <v>71503</v>
      </c>
      <c r="Y946" s="3">
        <v>7.0745199999999999E-3</v>
      </c>
      <c r="Z946">
        <v>5641.02</v>
      </c>
      <c r="AA946">
        <v>21</v>
      </c>
    </row>
    <row r="947" spans="1:27" x14ac:dyDescent="0.3">
      <c r="A947" t="s">
        <v>256</v>
      </c>
      <c r="B947" t="s">
        <v>88</v>
      </c>
      <c r="C947" t="s">
        <v>43</v>
      </c>
      <c r="D947" t="s">
        <v>15</v>
      </c>
      <c r="E947" t="s">
        <v>306</v>
      </c>
      <c r="F947" t="s">
        <v>162</v>
      </c>
      <c r="G947">
        <v>2</v>
      </c>
      <c r="H947" t="s">
        <v>313</v>
      </c>
      <c r="I947">
        <v>48595821</v>
      </c>
      <c r="J947">
        <v>23464426</v>
      </c>
      <c r="K947" s="3">
        <v>0.48284899999999997</v>
      </c>
      <c r="L947">
        <v>36732499</v>
      </c>
      <c r="M947" s="3">
        <v>0.75587800000000005</v>
      </c>
      <c r="N947">
        <v>11863322</v>
      </c>
      <c r="O947" s="3">
        <v>0.24412200000000001</v>
      </c>
      <c r="P947">
        <v>0</v>
      </c>
      <c r="Q947" s="3">
        <v>0</v>
      </c>
      <c r="R947">
        <v>0</v>
      </c>
      <c r="S947" s="3">
        <v>1</v>
      </c>
      <c r="T947">
        <v>23029593</v>
      </c>
      <c r="U947" s="3">
        <v>0.47390100000000002</v>
      </c>
      <c r="V947">
        <v>24229956</v>
      </c>
      <c r="W947">
        <v>24365865</v>
      </c>
      <c r="X947">
        <v>434833</v>
      </c>
      <c r="Y947" s="3">
        <v>8.9479499999999997E-3</v>
      </c>
      <c r="Z947">
        <v>6210.6</v>
      </c>
      <c r="AA947">
        <v>21</v>
      </c>
    </row>
    <row r="948" spans="1:27" x14ac:dyDescent="0.3">
      <c r="A948" t="s">
        <v>256</v>
      </c>
      <c r="B948" t="s">
        <v>88</v>
      </c>
      <c r="C948" t="s">
        <v>140</v>
      </c>
      <c r="D948" t="s">
        <v>10</v>
      </c>
      <c r="E948" t="s">
        <v>305</v>
      </c>
      <c r="F948" t="s">
        <v>152</v>
      </c>
      <c r="G948">
        <v>2</v>
      </c>
      <c r="H948" t="s">
        <v>313</v>
      </c>
      <c r="I948">
        <v>39676693</v>
      </c>
      <c r="J948">
        <v>19195775</v>
      </c>
      <c r="K948" s="3">
        <v>0.48380499999999999</v>
      </c>
      <c r="L948">
        <v>29992429</v>
      </c>
      <c r="M948" s="3">
        <v>0.75592099999999995</v>
      </c>
      <c r="N948">
        <v>9684264</v>
      </c>
      <c r="O948" s="3">
        <v>0.24407899999999999</v>
      </c>
      <c r="P948">
        <v>0</v>
      </c>
      <c r="Q948" s="3">
        <v>0</v>
      </c>
      <c r="R948">
        <v>0</v>
      </c>
      <c r="S948" s="3">
        <v>1</v>
      </c>
      <c r="T948">
        <v>18852952</v>
      </c>
      <c r="U948" s="3">
        <v>0.47516399999999998</v>
      </c>
      <c r="V948">
        <v>19788408</v>
      </c>
      <c r="W948">
        <v>19888285</v>
      </c>
      <c r="X948">
        <v>342823</v>
      </c>
      <c r="Y948" s="3">
        <v>8.6404099999999994E-3</v>
      </c>
      <c r="Z948">
        <v>5369.7</v>
      </c>
      <c r="AA948">
        <v>21</v>
      </c>
    </row>
    <row r="949" spans="1:27" x14ac:dyDescent="0.3">
      <c r="A949" t="s">
        <v>256</v>
      </c>
      <c r="B949" t="s">
        <v>88</v>
      </c>
      <c r="C949" t="s">
        <v>140</v>
      </c>
      <c r="D949" t="s">
        <v>10</v>
      </c>
      <c r="E949" t="s">
        <v>305</v>
      </c>
      <c r="F949" t="s">
        <v>80</v>
      </c>
      <c r="G949">
        <v>1</v>
      </c>
      <c r="H949" t="s">
        <v>313</v>
      </c>
      <c r="I949">
        <v>9949144</v>
      </c>
      <c r="J949">
        <v>4867670</v>
      </c>
      <c r="K949" s="3">
        <v>0.489255</v>
      </c>
      <c r="L949">
        <v>7471241</v>
      </c>
      <c r="M949" s="3">
        <v>0.75094300000000003</v>
      </c>
      <c r="N949">
        <v>2477903</v>
      </c>
      <c r="O949" s="3">
        <v>0.249057</v>
      </c>
      <c r="P949">
        <v>0</v>
      </c>
      <c r="Q949" s="3">
        <v>0</v>
      </c>
      <c r="R949">
        <v>0</v>
      </c>
      <c r="S949" s="3">
        <v>1</v>
      </c>
      <c r="T949">
        <v>4784461</v>
      </c>
      <c r="U949" s="3">
        <v>0.48089199999999999</v>
      </c>
      <c r="V949">
        <v>4972010</v>
      </c>
      <c r="W949">
        <v>4977134</v>
      </c>
      <c r="X949">
        <v>83209</v>
      </c>
      <c r="Y949" s="3">
        <v>8.3634299999999998E-3</v>
      </c>
      <c r="Z949">
        <v>8223.24</v>
      </c>
      <c r="AA949">
        <v>21</v>
      </c>
    </row>
    <row r="950" spans="1:27" x14ac:dyDescent="0.3">
      <c r="A950" t="s">
        <v>256</v>
      </c>
      <c r="B950" t="s">
        <v>88</v>
      </c>
      <c r="C950" t="s">
        <v>43</v>
      </c>
      <c r="D950" t="s">
        <v>25</v>
      </c>
      <c r="E950" t="s">
        <v>308</v>
      </c>
      <c r="F950" t="s">
        <v>103</v>
      </c>
      <c r="G950">
        <v>1</v>
      </c>
      <c r="H950" t="s">
        <v>313</v>
      </c>
      <c r="I950">
        <v>10153008</v>
      </c>
      <c r="J950">
        <v>5062089</v>
      </c>
      <c r="K950" s="3">
        <v>0.49858000000000002</v>
      </c>
      <c r="L950">
        <v>7586862</v>
      </c>
      <c r="M950" s="3">
        <v>0.74725299999999995</v>
      </c>
      <c r="N950">
        <v>2566146</v>
      </c>
      <c r="O950" s="3">
        <v>0.252747</v>
      </c>
      <c r="P950">
        <v>0</v>
      </c>
      <c r="Q950" s="3">
        <v>0</v>
      </c>
      <c r="R950">
        <v>0</v>
      </c>
      <c r="S950" s="3">
        <v>1</v>
      </c>
      <c r="T950">
        <v>4995808</v>
      </c>
      <c r="U950" s="3">
        <v>0.49205199999999999</v>
      </c>
      <c r="V950">
        <v>5076291</v>
      </c>
      <c r="W950">
        <v>5076717</v>
      </c>
      <c r="X950">
        <v>66281</v>
      </c>
      <c r="Y950" s="3">
        <v>6.5282099999999996E-3</v>
      </c>
      <c r="Z950">
        <v>6255.93</v>
      </c>
      <c r="AA950">
        <v>21</v>
      </c>
    </row>
    <row r="951" spans="1:27" x14ac:dyDescent="0.3">
      <c r="A951" t="s">
        <v>256</v>
      </c>
      <c r="B951" t="s">
        <v>88</v>
      </c>
      <c r="C951" t="s">
        <v>140</v>
      </c>
      <c r="D951" t="s">
        <v>34</v>
      </c>
      <c r="E951" t="s">
        <v>309</v>
      </c>
      <c r="F951" t="s">
        <v>94</v>
      </c>
      <c r="G951">
        <v>1</v>
      </c>
      <c r="H951" t="s">
        <v>313</v>
      </c>
      <c r="I951">
        <v>9855984</v>
      </c>
      <c r="J951">
        <v>5038614</v>
      </c>
      <c r="K951" s="3">
        <v>0.51122400000000001</v>
      </c>
      <c r="L951">
        <v>7287926</v>
      </c>
      <c r="M951" s="3">
        <v>0.73944200000000004</v>
      </c>
      <c r="N951">
        <v>2568058</v>
      </c>
      <c r="O951" s="3">
        <v>0.26055800000000001</v>
      </c>
      <c r="P951">
        <v>0</v>
      </c>
      <c r="Q951" s="3">
        <v>0</v>
      </c>
      <c r="R951">
        <v>0</v>
      </c>
      <c r="S951" s="3">
        <v>1</v>
      </c>
      <c r="T951">
        <v>4947413</v>
      </c>
      <c r="U951" s="3">
        <v>0.50197000000000003</v>
      </c>
      <c r="V951">
        <v>4924529</v>
      </c>
      <c r="W951">
        <v>4931455</v>
      </c>
      <c r="X951">
        <v>91201</v>
      </c>
      <c r="Y951" s="3">
        <v>9.2533600000000004E-3</v>
      </c>
      <c r="Z951">
        <v>6867.66</v>
      </c>
      <c r="AA951">
        <v>21</v>
      </c>
    </row>
    <row r="952" spans="1:27" x14ac:dyDescent="0.3">
      <c r="A952" t="s">
        <v>256</v>
      </c>
      <c r="B952" t="s">
        <v>88</v>
      </c>
      <c r="C952" t="s">
        <v>43</v>
      </c>
      <c r="D952" t="s">
        <v>34</v>
      </c>
      <c r="E952" t="s">
        <v>309</v>
      </c>
      <c r="F952" t="s">
        <v>106</v>
      </c>
      <c r="G952">
        <v>1</v>
      </c>
      <c r="H952" t="s">
        <v>313</v>
      </c>
      <c r="I952">
        <v>9899269</v>
      </c>
      <c r="J952">
        <v>5092825</v>
      </c>
      <c r="K952" s="3">
        <v>0.51446499999999995</v>
      </c>
      <c r="L952">
        <v>7309706</v>
      </c>
      <c r="M952" s="3">
        <v>0.73840899999999998</v>
      </c>
      <c r="N952">
        <v>2589563</v>
      </c>
      <c r="O952" s="3">
        <v>0.26159100000000002</v>
      </c>
      <c r="P952">
        <v>0</v>
      </c>
      <c r="Q952" s="3">
        <v>0</v>
      </c>
      <c r="R952">
        <v>0</v>
      </c>
      <c r="S952" s="3">
        <v>1</v>
      </c>
      <c r="T952">
        <v>5013782</v>
      </c>
      <c r="U952" s="3">
        <v>0.50648000000000004</v>
      </c>
      <c r="V952">
        <v>4948815</v>
      </c>
      <c r="W952">
        <v>4950454</v>
      </c>
      <c r="X952">
        <v>79043</v>
      </c>
      <c r="Y952" s="3">
        <v>7.9847300000000006E-3</v>
      </c>
      <c r="Z952">
        <v>8675.35</v>
      </c>
      <c r="AA952">
        <v>21</v>
      </c>
    </row>
    <row r="953" spans="1:27" x14ac:dyDescent="0.3">
      <c r="A953" t="s">
        <v>256</v>
      </c>
      <c r="B953" t="s">
        <v>88</v>
      </c>
      <c r="C953" t="s">
        <v>140</v>
      </c>
      <c r="D953" t="s">
        <v>20</v>
      </c>
      <c r="E953" t="s">
        <v>307</v>
      </c>
      <c r="F953" t="s">
        <v>86</v>
      </c>
      <c r="G953">
        <v>1</v>
      </c>
      <c r="H953" t="s">
        <v>313</v>
      </c>
      <c r="I953">
        <v>10213003</v>
      </c>
      <c r="J953">
        <v>5264391</v>
      </c>
      <c r="K953" s="3">
        <v>0.51546000000000003</v>
      </c>
      <c r="L953">
        <v>7533098</v>
      </c>
      <c r="M953" s="3">
        <v>0.737599</v>
      </c>
      <c r="N953">
        <v>2679905</v>
      </c>
      <c r="O953" s="3">
        <v>0.262401</v>
      </c>
      <c r="P953">
        <v>0</v>
      </c>
      <c r="Q953" s="3">
        <v>0</v>
      </c>
      <c r="R953">
        <v>0</v>
      </c>
      <c r="S953" s="3">
        <v>1</v>
      </c>
      <c r="T953">
        <v>5170451</v>
      </c>
      <c r="U953" s="3">
        <v>0.50626199999999999</v>
      </c>
      <c r="V953">
        <v>5102499</v>
      </c>
      <c r="W953">
        <v>5110504</v>
      </c>
      <c r="X953">
        <v>93940</v>
      </c>
      <c r="Y953" s="3">
        <v>9.1980800000000008E-3</v>
      </c>
      <c r="Z953">
        <v>7875.29</v>
      </c>
      <c r="AA953">
        <v>21</v>
      </c>
    </row>
    <row r="954" spans="1:27" x14ac:dyDescent="0.3">
      <c r="A954" t="s">
        <v>256</v>
      </c>
      <c r="B954" t="s">
        <v>88</v>
      </c>
      <c r="C954" t="s">
        <v>43</v>
      </c>
      <c r="D954" t="s">
        <v>34</v>
      </c>
      <c r="E954" t="s">
        <v>309</v>
      </c>
      <c r="F954" t="s">
        <v>104</v>
      </c>
      <c r="G954">
        <v>1</v>
      </c>
      <c r="H954" t="s">
        <v>313</v>
      </c>
      <c r="I954">
        <v>9646423</v>
      </c>
      <c r="J954">
        <v>4977095</v>
      </c>
      <c r="K954" s="3">
        <v>0.51595199999999997</v>
      </c>
      <c r="L954">
        <v>7113893</v>
      </c>
      <c r="M954" s="3">
        <v>0.73746400000000001</v>
      </c>
      <c r="N954">
        <v>2532530</v>
      </c>
      <c r="O954" s="3">
        <v>0.26253599999999999</v>
      </c>
      <c r="P954">
        <v>0</v>
      </c>
      <c r="Q954" s="3">
        <v>0</v>
      </c>
      <c r="R954">
        <v>0</v>
      </c>
      <c r="S954" s="3">
        <v>1</v>
      </c>
      <c r="T954">
        <v>4894647</v>
      </c>
      <c r="U954" s="3">
        <v>0.50740499999999999</v>
      </c>
      <c r="V954">
        <v>4820653</v>
      </c>
      <c r="W954">
        <v>4825770</v>
      </c>
      <c r="X954">
        <v>82448</v>
      </c>
      <c r="Y954" s="3">
        <v>8.5470000000000008E-3</v>
      </c>
      <c r="Z954">
        <v>7094.9</v>
      </c>
      <c r="AA954">
        <v>21</v>
      </c>
    </row>
    <row r="955" spans="1:27" x14ac:dyDescent="0.3">
      <c r="A955" t="s">
        <v>256</v>
      </c>
      <c r="B955" t="s">
        <v>88</v>
      </c>
      <c r="C955" t="s">
        <v>140</v>
      </c>
      <c r="D955" t="s">
        <v>25</v>
      </c>
      <c r="E955" t="s">
        <v>308</v>
      </c>
      <c r="F955" t="s">
        <v>92</v>
      </c>
      <c r="G955">
        <v>1</v>
      </c>
      <c r="H955" t="s">
        <v>313</v>
      </c>
      <c r="I955">
        <v>10101281</v>
      </c>
      <c r="J955">
        <v>5233143</v>
      </c>
      <c r="K955" s="3">
        <v>0.51806700000000006</v>
      </c>
      <c r="L955">
        <v>7438094</v>
      </c>
      <c r="M955" s="3">
        <v>0.73635200000000001</v>
      </c>
      <c r="N955">
        <v>2663187</v>
      </c>
      <c r="O955" s="3">
        <v>0.26364799999999999</v>
      </c>
      <c r="P955">
        <v>0</v>
      </c>
      <c r="Q955" s="3">
        <v>0</v>
      </c>
      <c r="R955">
        <v>0</v>
      </c>
      <c r="S955" s="3">
        <v>1</v>
      </c>
      <c r="T955">
        <v>5135158</v>
      </c>
      <c r="U955" s="3">
        <v>0.50836700000000001</v>
      </c>
      <c r="V955">
        <v>5045608</v>
      </c>
      <c r="W955">
        <v>5055673</v>
      </c>
      <c r="X955">
        <v>97985</v>
      </c>
      <c r="Y955" s="3">
        <v>9.7002500000000005E-3</v>
      </c>
      <c r="Z955">
        <v>9074.27</v>
      </c>
      <c r="AA955">
        <v>21</v>
      </c>
    </row>
    <row r="956" spans="1:27" x14ac:dyDescent="0.3">
      <c r="A956" t="s">
        <v>256</v>
      </c>
      <c r="B956" t="s">
        <v>88</v>
      </c>
      <c r="C956" t="s">
        <v>43</v>
      </c>
      <c r="D956" t="s">
        <v>34</v>
      </c>
      <c r="E956" t="s">
        <v>309</v>
      </c>
      <c r="F956" t="s">
        <v>105</v>
      </c>
      <c r="G956">
        <v>1</v>
      </c>
      <c r="H956" t="s">
        <v>313</v>
      </c>
      <c r="I956">
        <v>10092738</v>
      </c>
      <c r="J956">
        <v>5252920</v>
      </c>
      <c r="K956" s="3">
        <v>0.52046499999999996</v>
      </c>
      <c r="L956">
        <v>7411395</v>
      </c>
      <c r="M956" s="3">
        <v>0.73432900000000001</v>
      </c>
      <c r="N956">
        <v>2681343</v>
      </c>
      <c r="O956" s="3">
        <v>0.26567099999999999</v>
      </c>
      <c r="P956">
        <v>0</v>
      </c>
      <c r="Q956" s="3">
        <v>0</v>
      </c>
      <c r="R956">
        <v>0</v>
      </c>
      <c r="S956" s="3">
        <v>1</v>
      </c>
      <c r="T956">
        <v>5148152</v>
      </c>
      <c r="U956" s="3">
        <v>0.51008500000000001</v>
      </c>
      <c r="V956">
        <v>5042069</v>
      </c>
      <c r="W956">
        <v>5050669</v>
      </c>
      <c r="X956">
        <v>104768</v>
      </c>
      <c r="Y956" s="3">
        <v>1.0380500000000001E-2</v>
      </c>
      <c r="Z956">
        <v>9447.6299999999992</v>
      </c>
      <c r="AA956">
        <v>21</v>
      </c>
    </row>
    <row r="957" spans="1:27" x14ac:dyDescent="0.3">
      <c r="A957" t="s">
        <v>256</v>
      </c>
      <c r="B957" t="s">
        <v>88</v>
      </c>
      <c r="C957" t="s">
        <v>140</v>
      </c>
      <c r="D957" t="s">
        <v>25</v>
      </c>
      <c r="E957" t="s">
        <v>308</v>
      </c>
      <c r="F957" t="s">
        <v>91</v>
      </c>
      <c r="G957">
        <v>1</v>
      </c>
      <c r="H957" t="s">
        <v>313</v>
      </c>
      <c r="I957">
        <v>9668281</v>
      </c>
      <c r="J957">
        <v>5109554</v>
      </c>
      <c r="K957" s="3">
        <v>0.52848600000000001</v>
      </c>
      <c r="L957">
        <v>7069087</v>
      </c>
      <c r="M957" s="3">
        <v>0.73116300000000001</v>
      </c>
      <c r="N957">
        <v>2599194</v>
      </c>
      <c r="O957" s="3">
        <v>0.26883699999999999</v>
      </c>
      <c r="P957">
        <v>0</v>
      </c>
      <c r="Q957" s="3">
        <v>0</v>
      </c>
      <c r="R957">
        <v>0</v>
      </c>
      <c r="S957" s="3">
        <v>1</v>
      </c>
      <c r="T957">
        <v>5023283</v>
      </c>
      <c r="U957" s="3">
        <v>0.519563</v>
      </c>
      <c r="V957">
        <v>4829723</v>
      </c>
      <c r="W957">
        <v>4838558</v>
      </c>
      <c r="X957">
        <v>86271</v>
      </c>
      <c r="Y957" s="3">
        <v>8.9230999999999998E-3</v>
      </c>
      <c r="Z957">
        <v>9588.9500000000007</v>
      </c>
      <c r="AA957">
        <v>21</v>
      </c>
    </row>
    <row r="958" spans="1:27" x14ac:dyDescent="0.3">
      <c r="A958" t="s">
        <v>256</v>
      </c>
      <c r="B958" t="s">
        <v>88</v>
      </c>
      <c r="C958" t="s">
        <v>43</v>
      </c>
      <c r="D958" t="s">
        <v>25</v>
      </c>
      <c r="E958" t="s">
        <v>308</v>
      </c>
      <c r="F958" t="s">
        <v>98</v>
      </c>
      <c r="G958">
        <v>1</v>
      </c>
      <c r="H958" t="s">
        <v>313</v>
      </c>
      <c r="I958">
        <v>10537415</v>
      </c>
      <c r="J958">
        <v>5575623</v>
      </c>
      <c r="K958" s="3">
        <v>0.52912599999999999</v>
      </c>
      <c r="L958">
        <v>7699928</v>
      </c>
      <c r="M958" s="3">
        <v>0.73072300000000001</v>
      </c>
      <c r="N958">
        <v>2837487</v>
      </c>
      <c r="O958" s="3">
        <v>0.26927699999999999</v>
      </c>
      <c r="P958">
        <v>0</v>
      </c>
      <c r="Q958" s="3">
        <v>0</v>
      </c>
      <c r="R958">
        <v>0</v>
      </c>
      <c r="S958" s="3">
        <v>1</v>
      </c>
      <c r="T958">
        <v>5476979</v>
      </c>
      <c r="U958" s="3">
        <v>0.51976500000000003</v>
      </c>
      <c r="V958">
        <v>5264100</v>
      </c>
      <c r="W958">
        <v>5273315</v>
      </c>
      <c r="X958">
        <v>98644</v>
      </c>
      <c r="Y958" s="3">
        <v>9.3613099999999994E-3</v>
      </c>
      <c r="Z958">
        <v>9582.51</v>
      </c>
      <c r="AA958">
        <v>21</v>
      </c>
    </row>
    <row r="959" spans="1:27" x14ac:dyDescent="0.3">
      <c r="A959" t="s">
        <v>256</v>
      </c>
      <c r="B959" t="s">
        <v>88</v>
      </c>
      <c r="C959" t="s">
        <v>140</v>
      </c>
      <c r="D959" t="s">
        <v>34</v>
      </c>
      <c r="E959" t="s">
        <v>309</v>
      </c>
      <c r="F959" t="s">
        <v>93</v>
      </c>
      <c r="G959">
        <v>1</v>
      </c>
      <c r="H959" t="s">
        <v>313</v>
      </c>
      <c r="I959">
        <v>12540871</v>
      </c>
      <c r="J959">
        <v>6713670</v>
      </c>
      <c r="K959" s="3">
        <v>0.53534300000000001</v>
      </c>
      <c r="L959">
        <v>9112733</v>
      </c>
      <c r="M959" s="3">
        <v>0.72664300000000004</v>
      </c>
      <c r="N959">
        <v>3428138</v>
      </c>
      <c r="O959" s="3">
        <v>0.27335700000000002</v>
      </c>
      <c r="P959">
        <v>0</v>
      </c>
      <c r="Q959" s="3">
        <v>0</v>
      </c>
      <c r="R959">
        <v>0</v>
      </c>
      <c r="S959" s="3">
        <v>1</v>
      </c>
      <c r="T959">
        <v>6568197</v>
      </c>
      <c r="U959" s="3">
        <v>0.52374299999999996</v>
      </c>
      <c r="V959">
        <v>6258582</v>
      </c>
      <c r="W959">
        <v>6282289</v>
      </c>
      <c r="X959">
        <v>145473</v>
      </c>
      <c r="Y959" s="3">
        <v>1.15999E-2</v>
      </c>
      <c r="Z959">
        <v>9267.33</v>
      </c>
      <c r="AA959">
        <v>21</v>
      </c>
    </row>
    <row r="960" spans="1:27" x14ac:dyDescent="0.3">
      <c r="A960" t="s">
        <v>256</v>
      </c>
      <c r="B960" t="s">
        <v>88</v>
      </c>
      <c r="C960" t="s">
        <v>140</v>
      </c>
      <c r="D960" t="s">
        <v>34</v>
      </c>
      <c r="E960" t="s">
        <v>309</v>
      </c>
      <c r="F960" t="s">
        <v>95</v>
      </c>
      <c r="G960">
        <v>1</v>
      </c>
      <c r="H960" t="s">
        <v>313</v>
      </c>
      <c r="I960">
        <v>12332260</v>
      </c>
      <c r="J960">
        <v>6627808</v>
      </c>
      <c r="K960" s="3">
        <v>0.53743700000000005</v>
      </c>
      <c r="L960">
        <v>8960545</v>
      </c>
      <c r="M960" s="3">
        <v>0.72659399999999996</v>
      </c>
      <c r="N960">
        <v>3371715</v>
      </c>
      <c r="O960" s="3">
        <v>0.27340599999999998</v>
      </c>
      <c r="P960">
        <v>0</v>
      </c>
      <c r="Q960" s="3">
        <v>0</v>
      </c>
      <c r="R960">
        <v>0</v>
      </c>
      <c r="S960" s="3">
        <v>1</v>
      </c>
      <c r="T960">
        <v>6514303</v>
      </c>
      <c r="U960" s="3">
        <v>0.52823299999999995</v>
      </c>
      <c r="V960">
        <v>6161807</v>
      </c>
      <c r="W960">
        <v>6170453</v>
      </c>
      <c r="X960">
        <v>113505</v>
      </c>
      <c r="Y960" s="3">
        <v>9.2039099999999992E-3</v>
      </c>
      <c r="Z960">
        <v>9346.7099999999991</v>
      </c>
      <c r="AA960">
        <v>21</v>
      </c>
    </row>
    <row r="961" spans="1:27" x14ac:dyDescent="0.3">
      <c r="A961" t="s">
        <v>256</v>
      </c>
      <c r="B961" t="s">
        <v>88</v>
      </c>
      <c r="C961" t="s">
        <v>43</v>
      </c>
      <c r="D961" t="s">
        <v>34</v>
      </c>
      <c r="E961" t="s">
        <v>309</v>
      </c>
      <c r="F961" t="s">
        <v>107</v>
      </c>
      <c r="G961">
        <v>1</v>
      </c>
      <c r="H961" t="s">
        <v>313</v>
      </c>
      <c r="I961">
        <v>9817693</v>
      </c>
      <c r="J961">
        <v>5302639</v>
      </c>
      <c r="K961" s="3">
        <v>0.54010999999999998</v>
      </c>
      <c r="L961">
        <v>7123788</v>
      </c>
      <c r="M961" s="3">
        <v>0.725607</v>
      </c>
      <c r="N961">
        <v>2693905</v>
      </c>
      <c r="O961" s="3">
        <v>0.274393</v>
      </c>
      <c r="P961">
        <v>0</v>
      </c>
      <c r="Q961" s="3">
        <v>0</v>
      </c>
      <c r="R961">
        <v>0</v>
      </c>
      <c r="S961" s="3">
        <v>1</v>
      </c>
      <c r="T961">
        <v>5222639</v>
      </c>
      <c r="U961" s="3">
        <v>0.53196200000000005</v>
      </c>
      <c r="V961">
        <v>4908170</v>
      </c>
      <c r="W961">
        <v>4909523</v>
      </c>
      <c r="X961">
        <v>80000</v>
      </c>
      <c r="Y961" s="3">
        <v>8.1485499999999992E-3</v>
      </c>
      <c r="Z961">
        <v>11329.5</v>
      </c>
      <c r="AA961">
        <v>21</v>
      </c>
    </row>
    <row r="962" spans="1:27" x14ac:dyDescent="0.3">
      <c r="A962" t="s">
        <v>256</v>
      </c>
      <c r="B962" t="s">
        <v>88</v>
      </c>
      <c r="C962" t="s">
        <v>43</v>
      </c>
      <c r="D962" t="s">
        <v>25</v>
      </c>
      <c r="E962" t="s">
        <v>308</v>
      </c>
      <c r="F962" t="s">
        <v>101</v>
      </c>
      <c r="G962">
        <v>1</v>
      </c>
      <c r="H962" t="s">
        <v>313</v>
      </c>
      <c r="I962">
        <v>9565131</v>
      </c>
      <c r="J962">
        <v>5221586</v>
      </c>
      <c r="K962" s="3">
        <v>0.54589799999999999</v>
      </c>
      <c r="L962">
        <v>6906262</v>
      </c>
      <c r="M962" s="3">
        <v>0.72202500000000003</v>
      </c>
      <c r="N962">
        <v>2658869</v>
      </c>
      <c r="O962" s="3">
        <v>0.27797500000000003</v>
      </c>
      <c r="P962">
        <v>0</v>
      </c>
      <c r="Q962" s="3">
        <v>0</v>
      </c>
      <c r="R962">
        <v>0</v>
      </c>
      <c r="S962" s="3">
        <v>1</v>
      </c>
      <c r="T962">
        <v>5128404</v>
      </c>
      <c r="U962" s="3">
        <v>0.53615599999999997</v>
      </c>
      <c r="V962">
        <v>4781741</v>
      </c>
      <c r="W962">
        <v>4783390</v>
      </c>
      <c r="X962">
        <v>93182</v>
      </c>
      <c r="Y962" s="3">
        <v>9.7418399999999999E-3</v>
      </c>
      <c r="Z962">
        <v>12103.8</v>
      </c>
      <c r="AA962">
        <v>21</v>
      </c>
    </row>
    <row r="963" spans="1:27" x14ac:dyDescent="0.3">
      <c r="A963" t="s">
        <v>256</v>
      </c>
      <c r="B963" t="s">
        <v>88</v>
      </c>
      <c r="C963" t="s">
        <v>140</v>
      </c>
      <c r="D963" t="s">
        <v>25</v>
      </c>
      <c r="E963" t="s">
        <v>308</v>
      </c>
      <c r="F963" t="s">
        <v>89</v>
      </c>
      <c r="G963">
        <v>1</v>
      </c>
      <c r="H963" t="s">
        <v>313</v>
      </c>
      <c r="I963">
        <v>9566451</v>
      </c>
      <c r="J963">
        <v>5252261</v>
      </c>
      <c r="K963" s="3">
        <v>0.54902899999999999</v>
      </c>
      <c r="L963">
        <v>6898929</v>
      </c>
      <c r="M963" s="3">
        <v>0.72115899999999999</v>
      </c>
      <c r="N963">
        <v>2667522</v>
      </c>
      <c r="O963" s="3">
        <v>0.27884100000000001</v>
      </c>
      <c r="P963">
        <v>0</v>
      </c>
      <c r="Q963" s="3">
        <v>0</v>
      </c>
      <c r="R963">
        <v>0</v>
      </c>
      <c r="S963" s="3">
        <v>1</v>
      </c>
      <c r="T963">
        <v>5174092</v>
      </c>
      <c r="U963" s="3">
        <v>0.54085799999999995</v>
      </c>
      <c r="V963">
        <v>4782613</v>
      </c>
      <c r="W963">
        <v>4783838</v>
      </c>
      <c r="X963">
        <v>78169</v>
      </c>
      <c r="Y963" s="3">
        <v>8.1711600000000002E-3</v>
      </c>
      <c r="Z963">
        <v>10836.4</v>
      </c>
      <c r="AA963">
        <v>21</v>
      </c>
    </row>
    <row r="964" spans="1:27" x14ac:dyDescent="0.3">
      <c r="A964" t="s">
        <v>256</v>
      </c>
      <c r="B964" t="s">
        <v>88</v>
      </c>
      <c r="C964" t="s">
        <v>140</v>
      </c>
      <c r="D964" t="s">
        <v>34</v>
      </c>
      <c r="E964" t="s">
        <v>309</v>
      </c>
      <c r="F964" t="s">
        <v>96</v>
      </c>
      <c r="G964">
        <v>1</v>
      </c>
      <c r="H964" t="s">
        <v>313</v>
      </c>
      <c r="I964">
        <v>9375688</v>
      </c>
      <c r="J964">
        <v>5148609</v>
      </c>
      <c r="K964" s="3">
        <v>0.54914499999999999</v>
      </c>
      <c r="L964">
        <v>6759306</v>
      </c>
      <c r="M964" s="3">
        <v>0.72094000000000003</v>
      </c>
      <c r="N964">
        <v>2616382</v>
      </c>
      <c r="O964" s="3">
        <v>0.27905999999999997</v>
      </c>
      <c r="P964">
        <v>0</v>
      </c>
      <c r="Q964" s="3">
        <v>0</v>
      </c>
      <c r="R964">
        <v>0</v>
      </c>
      <c r="S964" s="3">
        <v>1</v>
      </c>
      <c r="T964">
        <v>5067147</v>
      </c>
      <c r="U964" s="3">
        <v>0.54045600000000005</v>
      </c>
      <c r="V964">
        <v>4686809</v>
      </c>
      <c r="W964">
        <v>4688879</v>
      </c>
      <c r="X964">
        <v>81462</v>
      </c>
      <c r="Y964" s="3">
        <v>8.6886399999999992E-3</v>
      </c>
      <c r="Z964">
        <v>8742.91</v>
      </c>
      <c r="AA964">
        <v>21</v>
      </c>
    </row>
    <row r="965" spans="1:27" x14ac:dyDescent="0.3">
      <c r="A965" t="s">
        <v>256</v>
      </c>
      <c r="B965" t="s">
        <v>88</v>
      </c>
      <c r="C965" t="s">
        <v>140</v>
      </c>
      <c r="D965" t="s">
        <v>25</v>
      </c>
      <c r="E965" t="s">
        <v>308</v>
      </c>
      <c r="F965" t="s">
        <v>90</v>
      </c>
      <c r="G965">
        <v>1</v>
      </c>
      <c r="H965" t="s">
        <v>313</v>
      </c>
      <c r="I965">
        <v>11336029</v>
      </c>
      <c r="J965">
        <v>6252131</v>
      </c>
      <c r="K965" s="3">
        <v>0.55152699999999999</v>
      </c>
      <c r="L965">
        <v>8154121</v>
      </c>
      <c r="M965" s="3">
        <v>0.71931</v>
      </c>
      <c r="N965">
        <v>3181908</v>
      </c>
      <c r="O965" s="3">
        <v>0.28069</v>
      </c>
      <c r="P965">
        <v>0</v>
      </c>
      <c r="Q965" s="3">
        <v>0</v>
      </c>
      <c r="R965">
        <v>0</v>
      </c>
      <c r="S965" s="3">
        <v>1</v>
      </c>
      <c r="T965">
        <v>6141026</v>
      </c>
      <c r="U965" s="3">
        <v>0.54172600000000004</v>
      </c>
      <c r="V965">
        <v>5664164</v>
      </c>
      <c r="W965">
        <v>5671865</v>
      </c>
      <c r="X965">
        <v>111105</v>
      </c>
      <c r="Y965" s="3">
        <v>9.8010500000000004E-3</v>
      </c>
      <c r="Z965">
        <v>11248.5</v>
      </c>
      <c r="AA965">
        <v>21</v>
      </c>
    </row>
    <row r="966" spans="1:27" x14ac:dyDescent="0.3">
      <c r="A966" t="s">
        <v>256</v>
      </c>
      <c r="B966" t="s">
        <v>88</v>
      </c>
      <c r="C966" t="s">
        <v>43</v>
      </c>
      <c r="D966" t="s">
        <v>25</v>
      </c>
      <c r="E966" t="s">
        <v>308</v>
      </c>
      <c r="F966" t="s">
        <v>102</v>
      </c>
      <c r="G966">
        <v>1</v>
      </c>
      <c r="H966" t="s">
        <v>313</v>
      </c>
      <c r="I966">
        <v>14818607</v>
      </c>
      <c r="J966">
        <v>8335151</v>
      </c>
      <c r="K966" s="3">
        <v>0.56247899999999995</v>
      </c>
      <c r="L966">
        <v>10575788</v>
      </c>
      <c r="M966" s="3">
        <v>0.71368299999999996</v>
      </c>
      <c r="N966">
        <v>4242819</v>
      </c>
      <c r="O966" s="3">
        <v>0.28631699999999999</v>
      </c>
      <c r="P966">
        <v>0</v>
      </c>
      <c r="Q966" s="3">
        <v>0</v>
      </c>
      <c r="R966">
        <v>0</v>
      </c>
      <c r="S966" s="3">
        <v>1</v>
      </c>
      <c r="T966">
        <v>8181282</v>
      </c>
      <c r="U966" s="3">
        <v>0.552095</v>
      </c>
      <c r="V966">
        <v>7403027</v>
      </c>
      <c r="W966">
        <v>7415580</v>
      </c>
      <c r="X966">
        <v>153869</v>
      </c>
      <c r="Y966" s="3">
        <v>1.03835E-2</v>
      </c>
      <c r="Z966">
        <v>12963.4</v>
      </c>
      <c r="AA966">
        <v>21</v>
      </c>
    </row>
    <row r="967" spans="1:27" x14ac:dyDescent="0.3">
      <c r="A967" t="s">
        <v>256</v>
      </c>
      <c r="B967" t="s">
        <v>236</v>
      </c>
      <c r="C967" t="s">
        <v>43</v>
      </c>
      <c r="D967" t="s">
        <v>10</v>
      </c>
      <c r="E967" t="s">
        <v>305</v>
      </c>
      <c r="F967" t="s">
        <v>159</v>
      </c>
      <c r="G967">
        <v>2</v>
      </c>
      <c r="H967" t="s">
        <v>313</v>
      </c>
      <c r="I967">
        <v>20765568</v>
      </c>
      <c r="J967">
        <v>20508063</v>
      </c>
      <c r="K967" s="3">
        <v>0.987599</v>
      </c>
      <c r="L967">
        <v>10475100</v>
      </c>
      <c r="M967" s="3">
        <v>0.50444599999999995</v>
      </c>
      <c r="N967">
        <v>10290468</v>
      </c>
      <c r="O967" s="3">
        <v>0.49555399999999999</v>
      </c>
      <c r="P967">
        <v>2290848</v>
      </c>
      <c r="Q967" s="3">
        <v>0.11032</v>
      </c>
      <c r="R967">
        <v>0</v>
      </c>
      <c r="S967" s="11">
        <v>1</v>
      </c>
      <c r="T967">
        <v>20443860</v>
      </c>
      <c r="U967" s="3">
        <v>0.98450800000000005</v>
      </c>
      <c r="V967">
        <v>10372596</v>
      </c>
      <c r="W967">
        <v>10392972</v>
      </c>
      <c r="X967">
        <v>64203</v>
      </c>
      <c r="Y967" s="3">
        <v>3.0918E-3</v>
      </c>
      <c r="Z967">
        <v>1267.1400000000001</v>
      </c>
      <c r="AA967">
        <v>35</v>
      </c>
    </row>
    <row r="968" spans="1:27" x14ac:dyDescent="0.3">
      <c r="A968" t="s">
        <v>256</v>
      </c>
      <c r="B968" t="s">
        <v>236</v>
      </c>
      <c r="C968" t="s">
        <v>43</v>
      </c>
      <c r="D968" t="s">
        <v>10</v>
      </c>
      <c r="E968" t="s">
        <v>305</v>
      </c>
      <c r="F968" t="s">
        <v>157</v>
      </c>
      <c r="G968">
        <v>2</v>
      </c>
      <c r="H968" t="s">
        <v>313</v>
      </c>
      <c r="I968">
        <v>17695864</v>
      </c>
      <c r="J968">
        <v>17490098</v>
      </c>
      <c r="K968" s="3">
        <v>0.98837200000000003</v>
      </c>
      <c r="L968">
        <v>8918662</v>
      </c>
      <c r="M968" s="3">
        <v>0.50399700000000003</v>
      </c>
      <c r="N968">
        <v>8777202</v>
      </c>
      <c r="O968" s="3">
        <v>0.49600300000000003</v>
      </c>
      <c r="P968">
        <v>1403963</v>
      </c>
      <c r="Q968" s="3">
        <v>7.9338500000000006E-2</v>
      </c>
      <c r="R968">
        <v>0</v>
      </c>
      <c r="S968" s="11">
        <v>1</v>
      </c>
      <c r="T968">
        <v>17429016</v>
      </c>
      <c r="U968" s="3">
        <v>0.98492000000000002</v>
      </c>
      <c r="V968">
        <v>8839368</v>
      </c>
      <c r="W968">
        <v>8856496</v>
      </c>
      <c r="X968">
        <v>61082</v>
      </c>
      <c r="Y968" s="3">
        <v>3.4517699999999998E-3</v>
      </c>
      <c r="Z968">
        <v>953.83699999999999</v>
      </c>
      <c r="AA968">
        <v>34</v>
      </c>
    </row>
    <row r="969" spans="1:27" x14ac:dyDescent="0.3">
      <c r="A969" t="s">
        <v>256</v>
      </c>
      <c r="B969" t="s">
        <v>236</v>
      </c>
      <c r="C969" t="s">
        <v>140</v>
      </c>
      <c r="D969" t="s">
        <v>15</v>
      </c>
      <c r="E969" t="s">
        <v>306</v>
      </c>
      <c r="F969" t="s">
        <v>154</v>
      </c>
      <c r="G969">
        <v>2</v>
      </c>
      <c r="H969" t="s">
        <v>313</v>
      </c>
      <c r="I969">
        <v>24670537</v>
      </c>
      <c r="J969">
        <v>24412938</v>
      </c>
      <c r="K969" s="3">
        <v>0.98955800000000005</v>
      </c>
      <c r="L969">
        <v>12426450</v>
      </c>
      <c r="M969" s="3">
        <v>0.50369600000000003</v>
      </c>
      <c r="N969">
        <v>12244087</v>
      </c>
      <c r="O969" s="3">
        <v>0.49630400000000002</v>
      </c>
      <c r="P969">
        <v>2119815</v>
      </c>
      <c r="Q969" s="3">
        <v>8.5925000000000001E-2</v>
      </c>
      <c r="R969">
        <v>0</v>
      </c>
      <c r="S969" s="11">
        <v>1</v>
      </c>
      <c r="T969">
        <v>24344766</v>
      </c>
      <c r="U969" s="3">
        <v>0.98679499999999998</v>
      </c>
      <c r="V969">
        <v>12327138</v>
      </c>
      <c r="W969">
        <v>12343399</v>
      </c>
      <c r="X969">
        <v>68172</v>
      </c>
      <c r="Y969" s="3">
        <v>2.7632999999999998E-3</v>
      </c>
      <c r="Z969">
        <v>1043.03</v>
      </c>
      <c r="AA969">
        <v>35</v>
      </c>
    </row>
    <row r="970" spans="1:27" x14ac:dyDescent="0.3">
      <c r="A970" t="s">
        <v>256</v>
      </c>
      <c r="B970" t="s">
        <v>236</v>
      </c>
      <c r="C970" t="s">
        <v>43</v>
      </c>
      <c r="D970" t="s">
        <v>10</v>
      </c>
      <c r="E970" t="s">
        <v>305</v>
      </c>
      <c r="F970" t="s">
        <v>158</v>
      </c>
      <c r="G970">
        <v>2</v>
      </c>
      <c r="H970" t="s">
        <v>313</v>
      </c>
      <c r="I970">
        <v>16019373</v>
      </c>
      <c r="J970">
        <v>15855049</v>
      </c>
      <c r="K970" s="3">
        <v>0.98974200000000001</v>
      </c>
      <c r="L970">
        <v>8068139</v>
      </c>
      <c r="M970" s="3">
        <v>0.50364900000000001</v>
      </c>
      <c r="N970">
        <v>7951234</v>
      </c>
      <c r="O970" s="3">
        <v>0.49635099999999999</v>
      </c>
      <c r="P970">
        <v>1480357</v>
      </c>
      <c r="Q970" s="3">
        <v>9.2410400000000004E-2</v>
      </c>
      <c r="R970">
        <v>0</v>
      </c>
      <c r="S970" s="11">
        <v>1</v>
      </c>
      <c r="T970">
        <v>15812059</v>
      </c>
      <c r="U970" s="3">
        <v>0.98705799999999999</v>
      </c>
      <c r="V970">
        <v>8004002</v>
      </c>
      <c r="W970">
        <v>8015371</v>
      </c>
      <c r="X970">
        <v>42990</v>
      </c>
      <c r="Y970" s="3">
        <v>2.6836300000000002E-3</v>
      </c>
      <c r="Z970">
        <v>1044.3499999999999</v>
      </c>
      <c r="AA970">
        <v>35</v>
      </c>
    </row>
    <row r="971" spans="1:27" x14ac:dyDescent="0.3">
      <c r="A971" t="s">
        <v>256</v>
      </c>
      <c r="B971" t="s">
        <v>236</v>
      </c>
      <c r="C971" t="s">
        <v>140</v>
      </c>
      <c r="D971" t="s">
        <v>15</v>
      </c>
      <c r="E971" t="s">
        <v>306</v>
      </c>
      <c r="F971" t="s">
        <v>153</v>
      </c>
      <c r="G971">
        <v>2</v>
      </c>
      <c r="H971" t="s">
        <v>313</v>
      </c>
      <c r="I971">
        <v>37565825</v>
      </c>
      <c r="J971">
        <v>37204582</v>
      </c>
      <c r="K971" s="3">
        <v>0.99038400000000004</v>
      </c>
      <c r="L971">
        <v>18908287</v>
      </c>
      <c r="M971" s="3">
        <v>0.50333799999999995</v>
      </c>
      <c r="N971">
        <v>18657538</v>
      </c>
      <c r="O971" s="3">
        <v>0.49666300000000002</v>
      </c>
      <c r="P971">
        <v>3094649</v>
      </c>
      <c r="Q971" s="3">
        <v>8.2379400000000005E-2</v>
      </c>
      <c r="R971">
        <v>0</v>
      </c>
      <c r="S971" s="11">
        <v>1</v>
      </c>
      <c r="T971">
        <v>37104762</v>
      </c>
      <c r="U971" s="3">
        <v>0.98772700000000002</v>
      </c>
      <c r="V971">
        <v>18771705</v>
      </c>
      <c r="W971">
        <v>18794120</v>
      </c>
      <c r="X971">
        <v>99820</v>
      </c>
      <c r="Y971" s="3">
        <v>2.6572000000000002E-3</v>
      </c>
      <c r="Z971">
        <v>1029.4100000000001</v>
      </c>
      <c r="AA971">
        <v>34</v>
      </c>
    </row>
    <row r="972" spans="1:27" x14ac:dyDescent="0.3">
      <c r="A972" t="s">
        <v>256</v>
      </c>
      <c r="B972" t="s">
        <v>236</v>
      </c>
      <c r="C972" t="s">
        <v>140</v>
      </c>
      <c r="D972" t="s">
        <v>20</v>
      </c>
      <c r="E972" t="s">
        <v>307</v>
      </c>
      <c r="F972" t="s">
        <v>155</v>
      </c>
      <c r="G972">
        <v>2</v>
      </c>
      <c r="H972" t="s">
        <v>313</v>
      </c>
      <c r="I972">
        <v>69037031</v>
      </c>
      <c r="J972">
        <v>68383956</v>
      </c>
      <c r="K972" s="3">
        <v>0.99053999999999998</v>
      </c>
      <c r="L972">
        <v>34748161</v>
      </c>
      <c r="M972" s="3">
        <v>0.50332600000000005</v>
      </c>
      <c r="N972">
        <v>34288870</v>
      </c>
      <c r="O972" s="3">
        <v>0.496674</v>
      </c>
      <c r="P972">
        <v>6836389</v>
      </c>
      <c r="Q972" s="3">
        <v>9.9025000000000002E-2</v>
      </c>
      <c r="R972">
        <v>0</v>
      </c>
      <c r="S972" s="11">
        <v>1</v>
      </c>
      <c r="T972">
        <v>68205690</v>
      </c>
      <c r="U972" s="3">
        <v>0.987958</v>
      </c>
      <c r="V972">
        <v>34497298</v>
      </c>
      <c r="W972">
        <v>34539733</v>
      </c>
      <c r="X972">
        <v>178266</v>
      </c>
      <c r="Y972" s="3">
        <v>2.5821799999999999E-3</v>
      </c>
      <c r="Z972">
        <v>1331.33</v>
      </c>
      <c r="AA972">
        <v>36</v>
      </c>
    </row>
    <row r="973" spans="1:27" x14ac:dyDescent="0.3">
      <c r="A973" t="s">
        <v>256</v>
      </c>
      <c r="B973" t="s">
        <v>236</v>
      </c>
      <c r="C973" t="s">
        <v>43</v>
      </c>
      <c r="D973" t="s">
        <v>15</v>
      </c>
      <c r="E973" t="s">
        <v>306</v>
      </c>
      <c r="F973" t="s">
        <v>160</v>
      </c>
      <c r="G973">
        <v>2</v>
      </c>
      <c r="H973" t="s">
        <v>313</v>
      </c>
      <c r="I973">
        <v>34098234</v>
      </c>
      <c r="J973">
        <v>33788866</v>
      </c>
      <c r="K973" s="3">
        <v>0.990927</v>
      </c>
      <c r="L973">
        <v>17155245</v>
      </c>
      <c r="M973" s="3">
        <v>0.503112</v>
      </c>
      <c r="N973">
        <v>16942989</v>
      </c>
      <c r="O973" s="3">
        <v>0.496888</v>
      </c>
      <c r="P973">
        <v>3691309</v>
      </c>
      <c r="Q973" s="3">
        <v>0.108255</v>
      </c>
      <c r="R973">
        <v>0</v>
      </c>
      <c r="S973" s="11">
        <v>1</v>
      </c>
      <c r="T973">
        <v>33701054</v>
      </c>
      <c r="U973" s="3">
        <v>0.98835200000000001</v>
      </c>
      <c r="V973">
        <v>17035127</v>
      </c>
      <c r="W973">
        <v>17063107</v>
      </c>
      <c r="X973">
        <v>87812</v>
      </c>
      <c r="Y973" s="3">
        <v>2.5752700000000002E-3</v>
      </c>
      <c r="Z973">
        <v>1270.7</v>
      </c>
      <c r="AA973">
        <v>36</v>
      </c>
    </row>
    <row r="974" spans="1:27" x14ac:dyDescent="0.3">
      <c r="A974" t="s">
        <v>256</v>
      </c>
      <c r="B974" t="s">
        <v>236</v>
      </c>
      <c r="C974" t="s">
        <v>140</v>
      </c>
      <c r="D974" t="s">
        <v>20</v>
      </c>
      <c r="E974" t="s">
        <v>307</v>
      </c>
      <c r="F974" t="s">
        <v>156</v>
      </c>
      <c r="G974">
        <v>2</v>
      </c>
      <c r="H974" t="s">
        <v>313</v>
      </c>
      <c r="I974">
        <v>26166750</v>
      </c>
      <c r="J974">
        <v>25930461</v>
      </c>
      <c r="K974" s="3">
        <v>0.99097000000000002</v>
      </c>
      <c r="L974">
        <v>13162607</v>
      </c>
      <c r="M974" s="3">
        <v>0.50302800000000003</v>
      </c>
      <c r="N974">
        <v>13004143</v>
      </c>
      <c r="O974" s="3">
        <v>0.49697200000000002</v>
      </c>
      <c r="P974">
        <v>2525279</v>
      </c>
      <c r="Q974" s="3">
        <v>9.6507200000000001E-2</v>
      </c>
      <c r="R974">
        <v>0</v>
      </c>
      <c r="S974" s="11">
        <v>1</v>
      </c>
      <c r="T974">
        <v>25859135</v>
      </c>
      <c r="U974" s="3">
        <v>0.98824400000000001</v>
      </c>
      <c r="V974">
        <v>13073649</v>
      </c>
      <c r="W974">
        <v>13093101</v>
      </c>
      <c r="X974">
        <v>71326</v>
      </c>
      <c r="Y974" s="3">
        <v>2.7258299999999998E-3</v>
      </c>
      <c r="Z974">
        <v>1342.48</v>
      </c>
      <c r="AA974">
        <v>35</v>
      </c>
    </row>
    <row r="975" spans="1:27" x14ac:dyDescent="0.3">
      <c r="A975" t="s">
        <v>256</v>
      </c>
      <c r="B975" t="s">
        <v>236</v>
      </c>
      <c r="C975" t="s">
        <v>140</v>
      </c>
      <c r="D975" t="s">
        <v>10</v>
      </c>
      <c r="E975" t="s">
        <v>305</v>
      </c>
      <c r="F975" t="s">
        <v>152</v>
      </c>
      <c r="G975">
        <v>2</v>
      </c>
      <c r="H975" t="s">
        <v>313</v>
      </c>
      <c r="I975">
        <v>39595403</v>
      </c>
      <c r="J975">
        <v>39242271</v>
      </c>
      <c r="K975" s="3">
        <v>0.99108099999999999</v>
      </c>
      <c r="L975">
        <v>19921065</v>
      </c>
      <c r="M975" s="3">
        <v>0.50311600000000001</v>
      </c>
      <c r="N975">
        <v>19674338</v>
      </c>
      <c r="O975" s="3">
        <v>0.49688399999999999</v>
      </c>
      <c r="P975">
        <v>4353588</v>
      </c>
      <c r="Q975" s="3">
        <v>0.10995199999999999</v>
      </c>
      <c r="R975">
        <v>0</v>
      </c>
      <c r="S975" s="11">
        <v>1</v>
      </c>
      <c r="T975">
        <v>39145210</v>
      </c>
      <c r="U975" s="3">
        <v>0.98863000000000001</v>
      </c>
      <c r="V975">
        <v>19787647</v>
      </c>
      <c r="W975">
        <v>19807756</v>
      </c>
      <c r="X975">
        <v>97061</v>
      </c>
      <c r="Y975" s="3">
        <v>2.4513199999999999E-3</v>
      </c>
      <c r="Z975">
        <v>1241.1400000000001</v>
      </c>
      <c r="AA975">
        <v>37</v>
      </c>
    </row>
    <row r="976" spans="1:27" x14ac:dyDescent="0.3">
      <c r="A976" t="s">
        <v>256</v>
      </c>
      <c r="B976" t="s">
        <v>236</v>
      </c>
      <c r="C976" t="s">
        <v>140</v>
      </c>
      <c r="D976" t="s">
        <v>15</v>
      </c>
      <c r="E976" t="s">
        <v>306</v>
      </c>
      <c r="F976" t="s">
        <v>82</v>
      </c>
      <c r="G976">
        <v>1</v>
      </c>
      <c r="H976" t="s">
        <v>313</v>
      </c>
      <c r="I976">
        <v>10630144</v>
      </c>
      <c r="J976">
        <v>10536819</v>
      </c>
      <c r="K976" s="3">
        <v>0.99122100000000002</v>
      </c>
      <c r="L976">
        <v>5357575</v>
      </c>
      <c r="M976" s="3">
        <v>0.50399799999999995</v>
      </c>
      <c r="N976">
        <v>5272569</v>
      </c>
      <c r="O976" s="3">
        <v>0.496002</v>
      </c>
      <c r="P976">
        <v>1465330</v>
      </c>
      <c r="Q976" s="3">
        <v>0.137847</v>
      </c>
      <c r="R976">
        <v>0</v>
      </c>
      <c r="S976" s="11">
        <v>1</v>
      </c>
      <c r="T976">
        <v>10525329</v>
      </c>
      <c r="U976" s="3">
        <v>0.99014000000000002</v>
      </c>
      <c r="V976">
        <v>5313836</v>
      </c>
      <c r="W976">
        <v>5316308</v>
      </c>
      <c r="X976">
        <v>11490</v>
      </c>
      <c r="Y976" s="3">
        <v>1.0808899999999999E-3</v>
      </c>
      <c r="Z976">
        <v>691.73699999999997</v>
      </c>
      <c r="AA976">
        <v>36</v>
      </c>
    </row>
    <row r="977" spans="1:27" x14ac:dyDescent="0.3">
      <c r="A977" t="s">
        <v>256</v>
      </c>
      <c r="B977" t="s">
        <v>236</v>
      </c>
      <c r="C977" t="s">
        <v>140</v>
      </c>
      <c r="D977" t="s">
        <v>10</v>
      </c>
      <c r="E977" t="s">
        <v>305</v>
      </c>
      <c r="F977" t="s">
        <v>151</v>
      </c>
      <c r="G977">
        <v>2</v>
      </c>
      <c r="H977" t="s">
        <v>313</v>
      </c>
      <c r="I977">
        <v>19661761</v>
      </c>
      <c r="J977">
        <v>19493097</v>
      </c>
      <c r="K977" s="3">
        <v>0.99142200000000003</v>
      </c>
      <c r="L977">
        <v>9887108</v>
      </c>
      <c r="M977" s="3">
        <v>0.50285999999999997</v>
      </c>
      <c r="N977">
        <v>9774653</v>
      </c>
      <c r="O977" s="3">
        <v>0.49714000000000003</v>
      </c>
      <c r="P977">
        <v>1966489</v>
      </c>
      <c r="Q977" s="3">
        <v>0.10001599999999999</v>
      </c>
      <c r="R977">
        <v>0</v>
      </c>
      <c r="S977" s="11">
        <v>1</v>
      </c>
      <c r="T977">
        <v>19441192</v>
      </c>
      <c r="U977" s="3">
        <v>0.98878200000000005</v>
      </c>
      <c r="V977">
        <v>9822111</v>
      </c>
      <c r="W977">
        <v>9839650</v>
      </c>
      <c r="X977">
        <v>51905</v>
      </c>
      <c r="Y977" s="3">
        <v>2.6399000000000001E-3</v>
      </c>
      <c r="Z977">
        <v>1176.76</v>
      </c>
      <c r="AA977">
        <v>36</v>
      </c>
    </row>
    <row r="978" spans="1:27" x14ac:dyDescent="0.3">
      <c r="A978" t="s">
        <v>256</v>
      </c>
      <c r="B978" t="s">
        <v>236</v>
      </c>
      <c r="C978" t="s">
        <v>43</v>
      </c>
      <c r="D978" t="s">
        <v>15</v>
      </c>
      <c r="E978" t="s">
        <v>306</v>
      </c>
      <c r="F978" t="s">
        <v>162</v>
      </c>
      <c r="G978">
        <v>2</v>
      </c>
      <c r="H978" t="s">
        <v>313</v>
      </c>
      <c r="I978">
        <v>48498942</v>
      </c>
      <c r="J978">
        <v>48089321</v>
      </c>
      <c r="K978" s="3">
        <v>0.99155400000000005</v>
      </c>
      <c r="L978">
        <v>24388914</v>
      </c>
      <c r="M978" s="3">
        <v>0.50287499999999996</v>
      </c>
      <c r="N978">
        <v>24110028</v>
      </c>
      <c r="O978" s="3">
        <v>0.49712499999999998</v>
      </c>
      <c r="P978">
        <v>5871014</v>
      </c>
      <c r="Q978" s="3">
        <v>0.12105399999999999</v>
      </c>
      <c r="R978">
        <v>0</v>
      </c>
      <c r="S978" s="11">
        <v>1</v>
      </c>
      <c r="T978">
        <v>47970481</v>
      </c>
      <c r="U978" s="3">
        <v>0.98910399999999998</v>
      </c>
      <c r="V978">
        <v>24226824</v>
      </c>
      <c r="W978">
        <v>24272118</v>
      </c>
      <c r="X978">
        <v>118840</v>
      </c>
      <c r="Y978" s="3">
        <v>2.45036E-3</v>
      </c>
      <c r="Z978">
        <v>1353.04</v>
      </c>
      <c r="AA978">
        <v>37</v>
      </c>
    </row>
    <row r="979" spans="1:27" x14ac:dyDescent="0.3">
      <c r="A979" t="s">
        <v>256</v>
      </c>
      <c r="B979" t="s">
        <v>236</v>
      </c>
      <c r="C979" t="s">
        <v>43</v>
      </c>
      <c r="D979" t="s">
        <v>15</v>
      </c>
      <c r="E979" t="s">
        <v>306</v>
      </c>
      <c r="F979" t="s">
        <v>161</v>
      </c>
      <c r="G979">
        <v>2</v>
      </c>
      <c r="H979" t="s">
        <v>313</v>
      </c>
      <c r="I979">
        <v>25248498</v>
      </c>
      <c r="J979">
        <v>25035983</v>
      </c>
      <c r="K979" s="3">
        <v>0.99158299999999999</v>
      </c>
      <c r="L979">
        <v>12696913</v>
      </c>
      <c r="M979" s="3">
        <v>0.50287800000000005</v>
      </c>
      <c r="N979">
        <v>12551585</v>
      </c>
      <c r="O979" s="3">
        <v>0.49712200000000001</v>
      </c>
      <c r="P979">
        <v>2390756</v>
      </c>
      <c r="Q979" s="3">
        <v>9.4688999999999995E-2</v>
      </c>
      <c r="R979">
        <v>0</v>
      </c>
      <c r="S979" s="11">
        <v>1</v>
      </c>
      <c r="T979">
        <v>24975676</v>
      </c>
      <c r="U979" s="3">
        <v>0.98919400000000002</v>
      </c>
      <c r="V979">
        <v>12616779</v>
      </c>
      <c r="W979">
        <v>12631719</v>
      </c>
      <c r="X979">
        <v>60307</v>
      </c>
      <c r="Y979" s="3">
        <v>2.3885400000000002E-3</v>
      </c>
      <c r="Z979">
        <v>1166.05</v>
      </c>
      <c r="AA979">
        <v>36</v>
      </c>
    </row>
    <row r="980" spans="1:27" x14ac:dyDescent="0.3">
      <c r="A980" t="s">
        <v>256</v>
      </c>
      <c r="B980" t="s">
        <v>236</v>
      </c>
      <c r="C980" t="s">
        <v>140</v>
      </c>
      <c r="D980" t="s">
        <v>20</v>
      </c>
      <c r="E980" t="s">
        <v>307</v>
      </c>
      <c r="F980" t="s">
        <v>85</v>
      </c>
      <c r="G980">
        <v>1</v>
      </c>
      <c r="H980" t="s">
        <v>313</v>
      </c>
      <c r="I980">
        <v>10103396</v>
      </c>
      <c r="J980">
        <v>10024183</v>
      </c>
      <c r="K980" s="3">
        <v>0.99216000000000004</v>
      </c>
      <c r="L980">
        <v>5086982</v>
      </c>
      <c r="M980" s="3">
        <v>0.50349200000000005</v>
      </c>
      <c r="N980">
        <v>5016414</v>
      </c>
      <c r="O980" s="3">
        <v>0.496508</v>
      </c>
      <c r="P980">
        <v>1300390</v>
      </c>
      <c r="Q980" s="3">
        <v>0.12870799999999999</v>
      </c>
      <c r="R980">
        <v>0</v>
      </c>
      <c r="S980" s="11">
        <v>1</v>
      </c>
      <c r="T980">
        <v>10013523</v>
      </c>
      <c r="U980" s="3">
        <v>0.99110500000000001</v>
      </c>
      <c r="V980">
        <v>5050138</v>
      </c>
      <c r="W980">
        <v>5053258</v>
      </c>
      <c r="X980">
        <v>10660</v>
      </c>
      <c r="Y980" s="3">
        <v>1.0550900000000001E-3</v>
      </c>
      <c r="Z980">
        <v>840.49800000000005</v>
      </c>
      <c r="AA980">
        <v>36</v>
      </c>
    </row>
    <row r="981" spans="1:27" x14ac:dyDescent="0.3">
      <c r="A981" t="s">
        <v>256</v>
      </c>
      <c r="B981" t="s">
        <v>236</v>
      </c>
      <c r="C981" t="s">
        <v>140</v>
      </c>
      <c r="D981" t="s">
        <v>15</v>
      </c>
      <c r="E981" t="s">
        <v>306</v>
      </c>
      <c r="F981" t="s">
        <v>83</v>
      </c>
      <c r="G981">
        <v>1</v>
      </c>
      <c r="H981" t="s">
        <v>313</v>
      </c>
      <c r="I981">
        <v>9806240</v>
      </c>
      <c r="J981">
        <v>9730916</v>
      </c>
      <c r="K981" s="3">
        <v>0.99231899999999995</v>
      </c>
      <c r="L981">
        <v>4936343</v>
      </c>
      <c r="M981" s="3">
        <v>0.50338799999999995</v>
      </c>
      <c r="N981">
        <v>4869897</v>
      </c>
      <c r="O981" s="3">
        <v>0.496612</v>
      </c>
      <c r="P981">
        <v>1379455</v>
      </c>
      <c r="Q981" s="3">
        <v>0.14067099999999999</v>
      </c>
      <c r="R981">
        <v>0</v>
      </c>
      <c r="S981" s="11">
        <v>1</v>
      </c>
      <c r="T981">
        <v>9719499</v>
      </c>
      <c r="U981" s="3">
        <v>0.99115399999999998</v>
      </c>
      <c r="V981">
        <v>4901626</v>
      </c>
      <c r="W981">
        <v>4904614</v>
      </c>
      <c r="X981">
        <v>11417</v>
      </c>
      <c r="Y981" s="3">
        <v>1.1642600000000001E-3</v>
      </c>
      <c r="Z981">
        <v>821.90200000000004</v>
      </c>
      <c r="AA981">
        <v>37</v>
      </c>
    </row>
    <row r="982" spans="1:27" x14ac:dyDescent="0.3">
      <c r="A982" t="s">
        <v>256</v>
      </c>
      <c r="B982" t="s">
        <v>236</v>
      </c>
      <c r="C982" t="s">
        <v>140</v>
      </c>
      <c r="D982" t="s">
        <v>10</v>
      </c>
      <c r="E982" t="s">
        <v>305</v>
      </c>
      <c r="F982" t="s">
        <v>75</v>
      </c>
      <c r="G982">
        <v>1</v>
      </c>
      <c r="H982" t="s">
        <v>313</v>
      </c>
      <c r="I982">
        <v>11062877</v>
      </c>
      <c r="J982">
        <v>10978049</v>
      </c>
      <c r="K982" s="3">
        <v>0.99233199999999999</v>
      </c>
      <c r="L982">
        <v>5569334</v>
      </c>
      <c r="M982" s="3">
        <v>0.50342500000000001</v>
      </c>
      <c r="N982">
        <v>5493543</v>
      </c>
      <c r="O982" s="3">
        <v>0.49657499999999999</v>
      </c>
      <c r="P982">
        <v>1638196</v>
      </c>
      <c r="Q982" s="3">
        <v>0.14807999999999999</v>
      </c>
      <c r="R982">
        <v>0</v>
      </c>
      <c r="S982" s="11">
        <v>1</v>
      </c>
      <c r="T982">
        <v>10964076</v>
      </c>
      <c r="U982" s="3">
        <v>0.99106899999999998</v>
      </c>
      <c r="V982">
        <v>5529968</v>
      </c>
      <c r="W982">
        <v>5532909</v>
      </c>
      <c r="X982">
        <v>13973</v>
      </c>
      <c r="Y982" s="3">
        <v>1.2630499999999999E-3</v>
      </c>
      <c r="Z982">
        <v>839.279</v>
      </c>
      <c r="AA982">
        <v>37</v>
      </c>
    </row>
    <row r="983" spans="1:27" x14ac:dyDescent="0.3">
      <c r="A983" t="s">
        <v>256</v>
      </c>
      <c r="B983" t="s">
        <v>236</v>
      </c>
      <c r="C983" t="s">
        <v>140</v>
      </c>
      <c r="D983" t="s">
        <v>25</v>
      </c>
      <c r="E983" t="s">
        <v>308</v>
      </c>
      <c r="F983" t="s">
        <v>92</v>
      </c>
      <c r="G983">
        <v>1</v>
      </c>
      <c r="H983" t="s">
        <v>313</v>
      </c>
      <c r="I983">
        <v>10087347</v>
      </c>
      <c r="J983">
        <v>10017666</v>
      </c>
      <c r="K983" s="3">
        <v>0.99309199999999997</v>
      </c>
      <c r="L983">
        <v>5073474</v>
      </c>
      <c r="M983" s="3">
        <v>0.50295400000000001</v>
      </c>
      <c r="N983">
        <v>5013873</v>
      </c>
      <c r="O983" s="3">
        <v>0.49704599999999999</v>
      </c>
      <c r="P983">
        <v>1618541</v>
      </c>
      <c r="Q983" s="3">
        <v>0.16045300000000001</v>
      </c>
      <c r="R983">
        <v>0</v>
      </c>
      <c r="S983" s="11">
        <v>1</v>
      </c>
      <c r="T983">
        <v>10005025</v>
      </c>
      <c r="U983" s="3">
        <v>0.99183900000000003</v>
      </c>
      <c r="V983">
        <v>5041671</v>
      </c>
      <c r="W983">
        <v>5045676</v>
      </c>
      <c r="X983">
        <v>12641</v>
      </c>
      <c r="Y983" s="3">
        <v>1.25315E-3</v>
      </c>
      <c r="Z983">
        <v>1127</v>
      </c>
      <c r="AA983">
        <v>40</v>
      </c>
    </row>
    <row r="984" spans="1:27" x14ac:dyDescent="0.3">
      <c r="A984" t="s">
        <v>256</v>
      </c>
      <c r="B984" t="s">
        <v>236</v>
      </c>
      <c r="C984" t="s">
        <v>43</v>
      </c>
      <c r="D984" t="s">
        <v>25</v>
      </c>
      <c r="E984" t="s">
        <v>308</v>
      </c>
      <c r="F984" t="s">
        <v>103</v>
      </c>
      <c r="G984">
        <v>1</v>
      </c>
      <c r="H984" t="s">
        <v>313</v>
      </c>
      <c r="I984">
        <v>10148791</v>
      </c>
      <c r="J984">
        <v>10078714</v>
      </c>
      <c r="K984" s="3">
        <v>0.99309499999999995</v>
      </c>
      <c r="L984">
        <v>5105772</v>
      </c>
      <c r="M984" s="3">
        <v>0.50309199999999998</v>
      </c>
      <c r="N984">
        <v>5043019</v>
      </c>
      <c r="O984" s="3">
        <v>0.49690800000000002</v>
      </c>
      <c r="P984">
        <v>1426574</v>
      </c>
      <c r="Q984" s="3">
        <v>0.140566</v>
      </c>
      <c r="R984">
        <v>0</v>
      </c>
      <c r="S984" s="11">
        <v>1</v>
      </c>
      <c r="T984">
        <v>10068605</v>
      </c>
      <c r="U984" s="3">
        <v>0.99209899999999995</v>
      </c>
      <c r="V984">
        <v>5072986</v>
      </c>
      <c r="W984">
        <v>5075805</v>
      </c>
      <c r="X984">
        <v>10109</v>
      </c>
      <c r="Y984" s="3">
        <v>9.9607899999999997E-4</v>
      </c>
      <c r="Z984">
        <v>663.21199999999999</v>
      </c>
      <c r="AA984">
        <v>38</v>
      </c>
    </row>
    <row r="985" spans="1:27" x14ac:dyDescent="0.3">
      <c r="A985" t="s">
        <v>256</v>
      </c>
      <c r="B985" t="s">
        <v>236</v>
      </c>
      <c r="C985" t="s">
        <v>140</v>
      </c>
      <c r="D985" t="s">
        <v>34</v>
      </c>
      <c r="E985" t="s">
        <v>309</v>
      </c>
      <c r="F985" t="s">
        <v>93</v>
      </c>
      <c r="G985">
        <v>1</v>
      </c>
      <c r="H985" t="s">
        <v>313</v>
      </c>
      <c r="I985">
        <v>12522132</v>
      </c>
      <c r="J985">
        <v>12436020</v>
      </c>
      <c r="K985" s="3">
        <v>0.99312299999999998</v>
      </c>
      <c r="L985">
        <v>6296187</v>
      </c>
      <c r="M985" s="3">
        <v>0.50280499999999995</v>
      </c>
      <c r="N985">
        <v>6225945</v>
      </c>
      <c r="O985" s="3">
        <v>0.497195</v>
      </c>
      <c r="P985">
        <v>2086686</v>
      </c>
      <c r="Q985" s="3">
        <v>0.16664000000000001</v>
      </c>
      <c r="R985">
        <v>0</v>
      </c>
      <c r="S985" s="11">
        <v>1</v>
      </c>
      <c r="T985">
        <v>12418409</v>
      </c>
      <c r="U985" s="3">
        <v>0.99171699999999996</v>
      </c>
      <c r="V985">
        <v>6258740</v>
      </c>
      <c r="W985">
        <v>6263392</v>
      </c>
      <c r="X985">
        <v>17611</v>
      </c>
      <c r="Y985" s="3">
        <v>1.40639E-3</v>
      </c>
      <c r="Z985">
        <v>1246.78</v>
      </c>
      <c r="AA985">
        <v>40</v>
      </c>
    </row>
    <row r="986" spans="1:27" x14ac:dyDescent="0.3">
      <c r="A986" t="s">
        <v>256</v>
      </c>
      <c r="B986" t="s">
        <v>236</v>
      </c>
      <c r="C986" t="s">
        <v>43</v>
      </c>
      <c r="D986" t="s">
        <v>25</v>
      </c>
      <c r="E986" t="s">
        <v>308</v>
      </c>
      <c r="F986" t="s">
        <v>101</v>
      </c>
      <c r="G986">
        <v>1</v>
      </c>
      <c r="H986" t="s">
        <v>313</v>
      </c>
      <c r="I986">
        <v>9562807</v>
      </c>
      <c r="J986">
        <v>9497400</v>
      </c>
      <c r="K986" s="3">
        <v>0.99316000000000004</v>
      </c>
      <c r="L986">
        <v>4810598</v>
      </c>
      <c r="M986" s="3">
        <v>0.50305299999999997</v>
      </c>
      <c r="N986">
        <v>4752209</v>
      </c>
      <c r="O986" s="3">
        <v>0.49694700000000003</v>
      </c>
      <c r="P986">
        <v>1818318</v>
      </c>
      <c r="Q986" s="3">
        <v>0.19014500000000001</v>
      </c>
      <c r="R986">
        <v>0</v>
      </c>
      <c r="S986" s="11">
        <v>1</v>
      </c>
      <c r="T986">
        <v>9487460</v>
      </c>
      <c r="U986" s="3">
        <v>0.99212100000000003</v>
      </c>
      <c r="V986">
        <v>4779514</v>
      </c>
      <c r="W986">
        <v>4783293</v>
      </c>
      <c r="X986">
        <v>9940</v>
      </c>
      <c r="Y986" s="3">
        <v>1.03944E-3</v>
      </c>
      <c r="Z986">
        <v>1008.56</v>
      </c>
      <c r="AA986">
        <v>41</v>
      </c>
    </row>
    <row r="987" spans="1:27" x14ac:dyDescent="0.3">
      <c r="A987" t="s">
        <v>256</v>
      </c>
      <c r="B987" t="s">
        <v>236</v>
      </c>
      <c r="C987" t="s">
        <v>140</v>
      </c>
      <c r="D987" t="s">
        <v>34</v>
      </c>
      <c r="E987" t="s">
        <v>309</v>
      </c>
      <c r="F987" t="s">
        <v>94</v>
      </c>
      <c r="G987">
        <v>1</v>
      </c>
      <c r="H987" t="s">
        <v>313</v>
      </c>
      <c r="I987">
        <v>9858620</v>
      </c>
      <c r="J987">
        <v>9791713</v>
      </c>
      <c r="K987" s="3">
        <v>0.99321300000000001</v>
      </c>
      <c r="L987">
        <v>4957709</v>
      </c>
      <c r="M987" s="3">
        <v>0.50288100000000002</v>
      </c>
      <c r="N987">
        <v>4900911</v>
      </c>
      <c r="O987" s="3">
        <v>0.49711899999999998</v>
      </c>
      <c r="P987">
        <v>1578118</v>
      </c>
      <c r="Q987" s="3">
        <v>0.160075</v>
      </c>
      <c r="R987">
        <v>0</v>
      </c>
      <c r="S987" s="11">
        <v>1</v>
      </c>
      <c r="T987">
        <v>9778806</v>
      </c>
      <c r="U987" s="3">
        <v>0.99190400000000001</v>
      </c>
      <c r="V987">
        <v>4927547</v>
      </c>
      <c r="W987">
        <v>4931073</v>
      </c>
      <c r="X987">
        <v>12907</v>
      </c>
      <c r="Y987" s="3">
        <v>1.3092100000000001E-3</v>
      </c>
      <c r="Z987">
        <v>1181.6300000000001</v>
      </c>
      <c r="AA987">
        <v>40</v>
      </c>
    </row>
    <row r="988" spans="1:27" x14ac:dyDescent="0.3">
      <c r="A988" t="s">
        <v>256</v>
      </c>
      <c r="B988" t="s">
        <v>236</v>
      </c>
      <c r="C988" t="s">
        <v>43</v>
      </c>
      <c r="D988" t="s">
        <v>25</v>
      </c>
      <c r="E988" t="s">
        <v>308</v>
      </c>
      <c r="F988" t="s">
        <v>98</v>
      </c>
      <c r="G988">
        <v>1</v>
      </c>
      <c r="H988" t="s">
        <v>313</v>
      </c>
      <c r="I988">
        <v>10524201</v>
      </c>
      <c r="J988">
        <v>10453018</v>
      </c>
      <c r="K988" s="3">
        <v>0.99323600000000001</v>
      </c>
      <c r="L988">
        <v>5291974</v>
      </c>
      <c r="M988" s="3">
        <v>0.50283900000000004</v>
      </c>
      <c r="N988">
        <v>5232227</v>
      </c>
      <c r="O988" s="3">
        <v>0.49716100000000002</v>
      </c>
      <c r="P988">
        <v>1733010</v>
      </c>
      <c r="Q988" s="3">
        <v>0.16466900000000001</v>
      </c>
      <c r="R988">
        <v>0</v>
      </c>
      <c r="S988" s="11">
        <v>1</v>
      </c>
      <c r="T988">
        <v>10439134</v>
      </c>
      <c r="U988" s="3">
        <v>0.99191700000000005</v>
      </c>
      <c r="V988">
        <v>5260406</v>
      </c>
      <c r="W988">
        <v>5263795</v>
      </c>
      <c r="X988">
        <v>13884</v>
      </c>
      <c r="Y988" s="3">
        <v>1.3192499999999999E-3</v>
      </c>
      <c r="Z988">
        <v>1008</v>
      </c>
      <c r="AA988">
        <v>40</v>
      </c>
    </row>
    <row r="989" spans="1:27" x14ac:dyDescent="0.3">
      <c r="A989" t="s">
        <v>256</v>
      </c>
      <c r="B989" t="s">
        <v>236</v>
      </c>
      <c r="C989" t="s">
        <v>43</v>
      </c>
      <c r="D989" t="s">
        <v>34</v>
      </c>
      <c r="E989" t="s">
        <v>309</v>
      </c>
      <c r="F989" t="s">
        <v>106</v>
      </c>
      <c r="G989">
        <v>1</v>
      </c>
      <c r="H989" t="s">
        <v>313</v>
      </c>
      <c r="I989">
        <v>9902975</v>
      </c>
      <c r="J989">
        <v>9837137</v>
      </c>
      <c r="K989" s="3">
        <v>0.99335200000000001</v>
      </c>
      <c r="L989">
        <v>4980729</v>
      </c>
      <c r="M989" s="3">
        <v>0.50295299999999998</v>
      </c>
      <c r="N989">
        <v>4922246</v>
      </c>
      <c r="O989" s="3">
        <v>0.49704700000000002</v>
      </c>
      <c r="P989">
        <v>1574201</v>
      </c>
      <c r="Q989" s="3">
        <v>0.15896199999999999</v>
      </c>
      <c r="R989">
        <v>0</v>
      </c>
      <c r="S989" s="11">
        <v>1</v>
      </c>
      <c r="T989">
        <v>9827038</v>
      </c>
      <c r="U989" s="3">
        <v>0.99233199999999999</v>
      </c>
      <c r="V989">
        <v>4949754</v>
      </c>
      <c r="W989">
        <v>4953221</v>
      </c>
      <c r="X989">
        <v>10099</v>
      </c>
      <c r="Y989" s="3">
        <v>1.01979E-3</v>
      </c>
      <c r="Z989">
        <v>943.86599999999999</v>
      </c>
      <c r="AA989">
        <v>40</v>
      </c>
    </row>
    <row r="990" spans="1:27" x14ac:dyDescent="0.3">
      <c r="A990" t="s">
        <v>256</v>
      </c>
      <c r="B990" t="s">
        <v>236</v>
      </c>
      <c r="C990" t="s">
        <v>140</v>
      </c>
      <c r="D990" t="s">
        <v>10</v>
      </c>
      <c r="E990" t="s">
        <v>305</v>
      </c>
      <c r="F990" t="s">
        <v>80</v>
      </c>
      <c r="G990">
        <v>1</v>
      </c>
      <c r="H990" t="s">
        <v>313</v>
      </c>
      <c r="I990">
        <v>9942190</v>
      </c>
      <c r="J990">
        <v>9877462</v>
      </c>
      <c r="K990" s="3">
        <v>0.99348999999999998</v>
      </c>
      <c r="L990">
        <v>4998947</v>
      </c>
      <c r="M990" s="3">
        <v>0.50280100000000005</v>
      </c>
      <c r="N990">
        <v>4943243</v>
      </c>
      <c r="O990" s="3">
        <v>0.497199</v>
      </c>
      <c r="P990">
        <v>1488369</v>
      </c>
      <c r="Q990" s="3">
        <v>0.149702</v>
      </c>
      <c r="R990">
        <v>0</v>
      </c>
      <c r="S990" s="11">
        <v>1</v>
      </c>
      <c r="T990">
        <v>9865369</v>
      </c>
      <c r="U990" s="3">
        <v>0.99227299999999996</v>
      </c>
      <c r="V990">
        <v>4969138</v>
      </c>
      <c r="W990">
        <v>4973052</v>
      </c>
      <c r="X990">
        <v>12093</v>
      </c>
      <c r="Y990" s="3">
        <v>1.2163300000000001E-3</v>
      </c>
      <c r="Z990">
        <v>892.904</v>
      </c>
      <c r="AA990">
        <v>38</v>
      </c>
    </row>
    <row r="991" spans="1:27" x14ac:dyDescent="0.3">
      <c r="A991" t="s">
        <v>256</v>
      </c>
      <c r="B991" t="s">
        <v>236</v>
      </c>
      <c r="C991" t="s">
        <v>140</v>
      </c>
      <c r="D991" t="s">
        <v>20</v>
      </c>
      <c r="E991" t="s">
        <v>307</v>
      </c>
      <c r="F991" t="s">
        <v>86</v>
      </c>
      <c r="G991">
        <v>1</v>
      </c>
      <c r="H991" t="s">
        <v>313</v>
      </c>
      <c r="I991">
        <v>10203152</v>
      </c>
      <c r="J991">
        <v>10137359</v>
      </c>
      <c r="K991" s="3">
        <v>0.99355199999999999</v>
      </c>
      <c r="L991">
        <v>5128940</v>
      </c>
      <c r="M991" s="3">
        <v>0.50268199999999996</v>
      </c>
      <c r="N991">
        <v>5074212</v>
      </c>
      <c r="O991" s="3">
        <v>0.49731799999999998</v>
      </c>
      <c r="P991">
        <v>1576676</v>
      </c>
      <c r="Q991" s="3">
        <v>0.154528</v>
      </c>
      <c r="R991">
        <v>0</v>
      </c>
      <c r="S991" s="11">
        <v>1</v>
      </c>
      <c r="T991">
        <v>10124326</v>
      </c>
      <c r="U991" s="3">
        <v>0.99227399999999999</v>
      </c>
      <c r="V991">
        <v>5100315</v>
      </c>
      <c r="W991">
        <v>5102837</v>
      </c>
      <c r="X991">
        <v>13033</v>
      </c>
      <c r="Y991" s="3">
        <v>1.27735E-3</v>
      </c>
      <c r="Z991">
        <v>930.64400000000001</v>
      </c>
      <c r="AA991">
        <v>39</v>
      </c>
    </row>
    <row r="992" spans="1:27" x14ac:dyDescent="0.3">
      <c r="A992" t="s">
        <v>256</v>
      </c>
      <c r="B992" t="s">
        <v>236</v>
      </c>
      <c r="C992" t="s">
        <v>43</v>
      </c>
      <c r="D992" t="s">
        <v>34</v>
      </c>
      <c r="E992" t="s">
        <v>309</v>
      </c>
      <c r="F992" t="s">
        <v>105</v>
      </c>
      <c r="G992">
        <v>1</v>
      </c>
      <c r="H992" t="s">
        <v>313</v>
      </c>
      <c r="I992">
        <v>10089452</v>
      </c>
      <c r="J992">
        <v>10024902</v>
      </c>
      <c r="K992" s="3">
        <v>0.99360199999999999</v>
      </c>
      <c r="L992">
        <v>5072263</v>
      </c>
      <c r="M992" s="3">
        <v>0.50272899999999998</v>
      </c>
      <c r="N992">
        <v>5017189</v>
      </c>
      <c r="O992" s="3">
        <v>0.49727100000000002</v>
      </c>
      <c r="P992">
        <v>1747762</v>
      </c>
      <c r="Q992" s="3">
        <v>0.17322699999999999</v>
      </c>
      <c r="R992">
        <v>0</v>
      </c>
      <c r="S992" s="11">
        <v>1</v>
      </c>
      <c r="T992">
        <v>10012132</v>
      </c>
      <c r="U992" s="3">
        <v>0.99233700000000002</v>
      </c>
      <c r="V992">
        <v>5042594</v>
      </c>
      <c r="W992">
        <v>5046858</v>
      </c>
      <c r="X992">
        <v>12770</v>
      </c>
      <c r="Y992" s="3">
        <v>1.2656799999999999E-3</v>
      </c>
      <c r="Z992">
        <v>1250.94</v>
      </c>
      <c r="AA992">
        <v>41</v>
      </c>
    </row>
    <row r="993" spans="1:27" x14ac:dyDescent="0.3">
      <c r="A993" t="s">
        <v>256</v>
      </c>
      <c r="B993" t="s">
        <v>236</v>
      </c>
      <c r="C993" t="s">
        <v>140</v>
      </c>
      <c r="D993" t="s">
        <v>25</v>
      </c>
      <c r="E993" t="s">
        <v>308</v>
      </c>
      <c r="F993" t="s">
        <v>91</v>
      </c>
      <c r="G993">
        <v>1</v>
      </c>
      <c r="H993" t="s">
        <v>313</v>
      </c>
      <c r="I993">
        <v>9655782</v>
      </c>
      <c r="J993">
        <v>9595790</v>
      </c>
      <c r="K993" s="3">
        <v>0.99378699999999998</v>
      </c>
      <c r="L993">
        <v>4853414</v>
      </c>
      <c r="M993" s="3">
        <v>0.50264299999999995</v>
      </c>
      <c r="N993">
        <v>4802368</v>
      </c>
      <c r="O993" s="3">
        <v>0.49735699999999999</v>
      </c>
      <c r="P993">
        <v>1530420</v>
      </c>
      <c r="Q993" s="3">
        <v>0.158498</v>
      </c>
      <c r="R993">
        <v>0</v>
      </c>
      <c r="S993" s="11">
        <v>1</v>
      </c>
      <c r="T993">
        <v>9584120</v>
      </c>
      <c r="U993" s="3">
        <v>0.99257799999999996</v>
      </c>
      <c r="V993">
        <v>4825568</v>
      </c>
      <c r="W993">
        <v>4830214</v>
      </c>
      <c r="X993">
        <v>11670</v>
      </c>
      <c r="Y993" s="3">
        <v>1.2086E-3</v>
      </c>
      <c r="Z993">
        <v>959.18100000000004</v>
      </c>
      <c r="AA993">
        <v>40</v>
      </c>
    </row>
    <row r="994" spans="1:27" x14ac:dyDescent="0.3">
      <c r="A994" t="s">
        <v>256</v>
      </c>
      <c r="B994" t="s">
        <v>236</v>
      </c>
      <c r="C994" t="s">
        <v>140</v>
      </c>
      <c r="D994" t="s">
        <v>25</v>
      </c>
      <c r="E994" t="s">
        <v>308</v>
      </c>
      <c r="F994" t="s">
        <v>90</v>
      </c>
      <c r="G994">
        <v>1</v>
      </c>
      <c r="H994" t="s">
        <v>313</v>
      </c>
      <c r="I994">
        <v>11322833</v>
      </c>
      <c r="J994">
        <v>11253322</v>
      </c>
      <c r="K994" s="3">
        <v>0.99386099999999999</v>
      </c>
      <c r="L994">
        <v>5690836</v>
      </c>
      <c r="M994" s="3">
        <v>0.50259799999999999</v>
      </c>
      <c r="N994">
        <v>5631997</v>
      </c>
      <c r="O994" s="3">
        <v>0.49740200000000001</v>
      </c>
      <c r="P994">
        <v>2004292</v>
      </c>
      <c r="Q994" s="3">
        <v>0.177013</v>
      </c>
      <c r="R994">
        <v>0</v>
      </c>
      <c r="S994" s="11">
        <v>1</v>
      </c>
      <c r="T994">
        <v>11239456</v>
      </c>
      <c r="U994" s="3">
        <v>0.99263599999999996</v>
      </c>
      <c r="V994">
        <v>5659982</v>
      </c>
      <c r="W994">
        <v>5662851</v>
      </c>
      <c r="X994">
        <v>13866</v>
      </c>
      <c r="Y994" s="3">
        <v>1.2246100000000001E-3</v>
      </c>
      <c r="Z994">
        <v>1256.5999999999999</v>
      </c>
      <c r="AA994">
        <v>42</v>
      </c>
    </row>
    <row r="995" spans="1:27" x14ac:dyDescent="0.3">
      <c r="A995" t="s">
        <v>256</v>
      </c>
      <c r="B995" t="s">
        <v>236</v>
      </c>
      <c r="C995" t="s">
        <v>43</v>
      </c>
      <c r="D995" t="s">
        <v>34</v>
      </c>
      <c r="E995" t="s">
        <v>309</v>
      </c>
      <c r="F995" t="s">
        <v>107</v>
      </c>
      <c r="G995">
        <v>1</v>
      </c>
      <c r="H995" t="s">
        <v>313</v>
      </c>
      <c r="I995">
        <v>9815491</v>
      </c>
      <c r="J995">
        <v>9756652</v>
      </c>
      <c r="K995" s="3">
        <v>0.99400599999999995</v>
      </c>
      <c r="L995">
        <v>4933888</v>
      </c>
      <c r="M995" s="3">
        <v>0.50266299999999997</v>
      </c>
      <c r="N995">
        <v>4881603</v>
      </c>
      <c r="O995" s="3">
        <v>0.49733699999999997</v>
      </c>
      <c r="P995">
        <v>1677931</v>
      </c>
      <c r="Q995" s="3">
        <v>0.17094699999999999</v>
      </c>
      <c r="R995">
        <v>0</v>
      </c>
      <c r="S995" s="11">
        <v>1</v>
      </c>
      <c r="T995">
        <v>9747353</v>
      </c>
      <c r="U995" s="3">
        <v>0.993058</v>
      </c>
      <c r="V995">
        <v>4906518</v>
      </c>
      <c r="W995">
        <v>4908973</v>
      </c>
      <c r="X995">
        <v>9299</v>
      </c>
      <c r="Y995" s="3">
        <v>9.4738000000000005E-4</v>
      </c>
      <c r="Z995">
        <v>1007.31</v>
      </c>
      <c r="AA995">
        <v>41</v>
      </c>
    </row>
    <row r="996" spans="1:27" x14ac:dyDescent="0.3">
      <c r="A996" t="s">
        <v>256</v>
      </c>
      <c r="B996" t="s">
        <v>236</v>
      </c>
      <c r="C996" t="s">
        <v>43</v>
      </c>
      <c r="D996" t="s">
        <v>34</v>
      </c>
      <c r="E996" t="s">
        <v>309</v>
      </c>
      <c r="F996" t="s">
        <v>104</v>
      </c>
      <c r="G996">
        <v>1</v>
      </c>
      <c r="H996" t="s">
        <v>313</v>
      </c>
      <c r="I996">
        <v>9655173</v>
      </c>
      <c r="J996">
        <v>9598869</v>
      </c>
      <c r="K996" s="3">
        <v>0.99416899999999997</v>
      </c>
      <c r="L996">
        <v>4851515</v>
      </c>
      <c r="M996" s="3">
        <v>0.50247799999999998</v>
      </c>
      <c r="N996">
        <v>4803658</v>
      </c>
      <c r="O996" s="3">
        <v>0.49752200000000002</v>
      </c>
      <c r="P996">
        <v>1521137</v>
      </c>
      <c r="Q996" s="3">
        <v>0.15754599999999999</v>
      </c>
      <c r="R996">
        <v>0</v>
      </c>
      <c r="S996" s="11">
        <v>1</v>
      </c>
      <c r="T996">
        <v>9588045</v>
      </c>
      <c r="U996" s="3">
        <v>0.99304700000000001</v>
      </c>
      <c r="V996">
        <v>4826116</v>
      </c>
      <c r="W996">
        <v>4829057</v>
      </c>
      <c r="X996">
        <v>10824</v>
      </c>
      <c r="Y996" s="3">
        <v>1.1210599999999999E-3</v>
      </c>
      <c r="Z996">
        <v>1297.48</v>
      </c>
      <c r="AA996">
        <v>39</v>
      </c>
    </row>
    <row r="997" spans="1:27" x14ac:dyDescent="0.3">
      <c r="A997" t="s">
        <v>256</v>
      </c>
      <c r="B997" t="s">
        <v>236</v>
      </c>
      <c r="C997" t="s">
        <v>140</v>
      </c>
      <c r="D997" t="s">
        <v>34</v>
      </c>
      <c r="E997" t="s">
        <v>309</v>
      </c>
      <c r="F997" t="s">
        <v>96</v>
      </c>
      <c r="G997">
        <v>1</v>
      </c>
      <c r="H997" t="s">
        <v>313</v>
      </c>
      <c r="I997">
        <v>9370271</v>
      </c>
      <c r="J997">
        <v>9317963</v>
      </c>
      <c r="K997" s="3">
        <v>0.99441800000000002</v>
      </c>
      <c r="L997">
        <v>4707753</v>
      </c>
      <c r="M997" s="3">
        <v>0.50241400000000003</v>
      </c>
      <c r="N997">
        <v>4662518</v>
      </c>
      <c r="O997" s="3">
        <v>0.49758599999999997</v>
      </c>
      <c r="P997">
        <v>1652227</v>
      </c>
      <c r="Q997" s="3">
        <v>0.17632600000000001</v>
      </c>
      <c r="R997">
        <v>0</v>
      </c>
      <c r="S997" s="11">
        <v>1</v>
      </c>
      <c r="T997">
        <v>9308330</v>
      </c>
      <c r="U997" s="3">
        <v>0.99339</v>
      </c>
      <c r="V997">
        <v>4683183</v>
      </c>
      <c r="W997">
        <v>4687088</v>
      </c>
      <c r="X997">
        <v>9633</v>
      </c>
      <c r="Y997" s="3">
        <v>1.02804E-3</v>
      </c>
      <c r="Z997">
        <v>877.51099999999997</v>
      </c>
      <c r="AA997">
        <v>41</v>
      </c>
    </row>
    <row r="998" spans="1:27" x14ac:dyDescent="0.3">
      <c r="A998" t="s">
        <v>256</v>
      </c>
      <c r="B998" t="s">
        <v>236</v>
      </c>
      <c r="C998" t="s">
        <v>140</v>
      </c>
      <c r="D998" t="s">
        <v>25</v>
      </c>
      <c r="E998" t="s">
        <v>308</v>
      </c>
      <c r="F998" t="s">
        <v>89</v>
      </c>
      <c r="G998">
        <v>1</v>
      </c>
      <c r="H998" t="s">
        <v>313</v>
      </c>
      <c r="I998">
        <v>9562477</v>
      </c>
      <c r="J998">
        <v>9509437</v>
      </c>
      <c r="K998" s="3">
        <v>0.99445300000000003</v>
      </c>
      <c r="L998">
        <v>4805011</v>
      </c>
      <c r="M998" s="3">
        <v>0.50248599999999999</v>
      </c>
      <c r="N998">
        <v>4757466</v>
      </c>
      <c r="O998" s="3">
        <v>0.49751400000000001</v>
      </c>
      <c r="P998">
        <v>1647024</v>
      </c>
      <c r="Q998" s="3">
        <v>0.172238</v>
      </c>
      <c r="R998">
        <v>0</v>
      </c>
      <c r="S998" s="11">
        <v>1</v>
      </c>
      <c r="T998">
        <v>9500624</v>
      </c>
      <c r="U998" s="3">
        <v>0.99353199999999997</v>
      </c>
      <c r="V998">
        <v>4779412</v>
      </c>
      <c r="W998">
        <v>4783065</v>
      </c>
      <c r="X998">
        <v>8813</v>
      </c>
      <c r="Y998" s="3">
        <v>9.21623E-4</v>
      </c>
      <c r="Z998">
        <v>876.58299999999997</v>
      </c>
      <c r="AA998">
        <v>41</v>
      </c>
    </row>
    <row r="999" spans="1:27" x14ac:dyDescent="0.3">
      <c r="A999" t="s">
        <v>256</v>
      </c>
      <c r="B999" t="s">
        <v>236</v>
      </c>
      <c r="C999" t="s">
        <v>140</v>
      </c>
      <c r="D999" t="s">
        <v>34</v>
      </c>
      <c r="E999" t="s">
        <v>309</v>
      </c>
      <c r="F999" t="s">
        <v>95</v>
      </c>
      <c r="G999">
        <v>1</v>
      </c>
      <c r="H999" t="s">
        <v>313</v>
      </c>
      <c r="I999">
        <v>12319700</v>
      </c>
      <c r="J999">
        <v>12252589</v>
      </c>
      <c r="K999" s="3">
        <v>0.99455300000000002</v>
      </c>
      <c r="L999">
        <v>6187729</v>
      </c>
      <c r="M999" s="3">
        <v>0.50226300000000001</v>
      </c>
      <c r="N999">
        <v>6131971</v>
      </c>
      <c r="O999" s="3">
        <v>0.49773699999999999</v>
      </c>
      <c r="P999">
        <v>2016782</v>
      </c>
      <c r="Q999" s="3">
        <v>0.16370399999999999</v>
      </c>
      <c r="R999">
        <v>0</v>
      </c>
      <c r="S999" s="11">
        <v>1</v>
      </c>
      <c r="T999">
        <v>12238492</v>
      </c>
      <c r="U999" s="3">
        <v>0.99340799999999996</v>
      </c>
      <c r="V999">
        <v>6158730</v>
      </c>
      <c r="W999">
        <v>6160970</v>
      </c>
      <c r="X999">
        <v>14097</v>
      </c>
      <c r="Y999" s="3">
        <v>1.14426E-3</v>
      </c>
      <c r="Z999">
        <v>1034.95</v>
      </c>
      <c r="AA999">
        <v>40</v>
      </c>
    </row>
    <row r="1000" spans="1:27" x14ac:dyDescent="0.3">
      <c r="A1000" t="s">
        <v>256</v>
      </c>
      <c r="B1000" t="s">
        <v>236</v>
      </c>
      <c r="C1000" t="s">
        <v>43</v>
      </c>
      <c r="D1000" t="s">
        <v>25</v>
      </c>
      <c r="E1000" t="s">
        <v>308</v>
      </c>
      <c r="F1000" t="s">
        <v>102</v>
      </c>
      <c r="G1000">
        <v>1</v>
      </c>
      <c r="H1000" t="s">
        <v>313</v>
      </c>
      <c r="I1000">
        <v>14798452</v>
      </c>
      <c r="J1000">
        <v>14720725</v>
      </c>
      <c r="K1000" s="3">
        <v>0.99474799999999997</v>
      </c>
      <c r="L1000">
        <v>7431716</v>
      </c>
      <c r="M1000" s="3">
        <v>0.50219499999999995</v>
      </c>
      <c r="N1000">
        <v>7366736</v>
      </c>
      <c r="O1000" s="3">
        <v>0.49780400000000002</v>
      </c>
      <c r="P1000">
        <v>2847582</v>
      </c>
      <c r="Q1000" s="3">
        <v>0.19242400000000001</v>
      </c>
      <c r="R1000">
        <v>0</v>
      </c>
      <c r="S1000" s="11">
        <v>1</v>
      </c>
      <c r="T1000">
        <v>14703396</v>
      </c>
      <c r="U1000" s="3">
        <v>0.99357700000000004</v>
      </c>
      <c r="V1000">
        <v>7396563</v>
      </c>
      <c r="W1000">
        <v>7401889</v>
      </c>
      <c r="X1000">
        <v>17329</v>
      </c>
      <c r="Y1000" s="3">
        <v>1.1709999999999999E-3</v>
      </c>
      <c r="Z1000">
        <v>1145.97</v>
      </c>
      <c r="AA1000">
        <v>41</v>
      </c>
    </row>
  </sheetData>
  <sortState xmlns:xlrd2="http://schemas.microsoft.com/office/spreadsheetml/2017/richdata2" ref="A2:AA1000">
    <sortCondition ref="A2:A1000"/>
    <sortCondition ref="B2:B1000"/>
    <sortCondition ref="K2:K1000"/>
  </sortState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961B-A9C3-429D-85E9-B48388DA030E}">
  <dimension ref="A1:Z425"/>
  <sheetViews>
    <sheetView topLeftCell="A346" workbookViewId="0">
      <selection activeCell="H372" sqref="H372"/>
    </sheetView>
  </sheetViews>
  <sheetFormatPr defaultRowHeight="14.4" x14ac:dyDescent="0.3"/>
  <cols>
    <col min="1" max="1" width="16.5546875" bestFit="1" customWidth="1"/>
    <col min="2" max="4" width="20.44140625" bestFit="1" customWidth="1"/>
    <col min="5" max="5" width="13.44140625" bestFit="1" customWidth="1"/>
    <col min="6" max="6" width="15" bestFit="1" customWidth="1"/>
    <col min="7" max="7" width="14.6640625" bestFit="1" customWidth="1"/>
    <col min="8" max="8" width="20.5546875" bestFit="1" customWidth="1"/>
    <col min="9" max="9" width="17.21875" bestFit="1" customWidth="1"/>
    <col min="10" max="10" width="20.44140625" bestFit="1" customWidth="1"/>
    <col min="11" max="11" width="9" bestFit="1" customWidth="1"/>
    <col min="12" max="12" width="14.88671875" bestFit="1" customWidth="1"/>
    <col min="13" max="13" width="9.6640625" bestFit="1" customWidth="1"/>
    <col min="14" max="14" width="21.33203125" bestFit="1" customWidth="1"/>
    <col min="15" max="15" width="16.21875" bestFit="1" customWidth="1"/>
    <col min="16" max="16" width="22.88671875" bestFit="1" customWidth="1"/>
    <col min="17" max="17" width="9" bestFit="1" customWidth="1"/>
    <col min="18" max="18" width="15.109375" bestFit="1" customWidth="1"/>
    <col min="19" max="19" width="9.6640625" bestFit="1" customWidth="1"/>
    <col min="20" max="20" width="17.21875" bestFit="1" customWidth="1"/>
    <col min="21" max="21" width="16" bestFit="1" customWidth="1"/>
    <col min="22" max="22" width="15.5546875" bestFit="1" customWidth="1"/>
  </cols>
  <sheetData>
    <row r="1" spans="1:26" s="2" customFormat="1" x14ac:dyDescent="0.3">
      <c r="A1" s="2" t="s">
        <v>255</v>
      </c>
      <c r="B1" s="2" t="s">
        <v>312</v>
      </c>
      <c r="C1" s="2" t="s">
        <v>87</v>
      </c>
      <c r="D1" s="2" t="s">
        <v>2</v>
      </c>
      <c r="E1" s="2" t="s">
        <v>1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76</v>
      </c>
      <c r="K1" s="2" t="s">
        <v>69</v>
      </c>
      <c r="L1" s="2" t="s">
        <v>77</v>
      </c>
      <c r="M1" s="2" t="s">
        <v>84</v>
      </c>
      <c r="N1" s="2" t="s">
        <v>141</v>
      </c>
      <c r="O1" s="2" t="s">
        <v>70</v>
      </c>
      <c r="P1" s="2" t="s">
        <v>81</v>
      </c>
      <c r="Q1" s="2" t="s">
        <v>71</v>
      </c>
      <c r="R1" s="2" t="s">
        <v>78</v>
      </c>
      <c r="S1" s="2" t="s">
        <v>72</v>
      </c>
      <c r="T1" s="2" t="s">
        <v>73</v>
      </c>
      <c r="U1" s="2" t="s">
        <v>74</v>
      </c>
      <c r="V1" s="2" t="s">
        <v>79</v>
      </c>
      <c r="W1" s="2" t="s">
        <v>99</v>
      </c>
      <c r="X1" s="2" t="s">
        <v>100</v>
      </c>
      <c r="Z1" s="2" t="s">
        <v>242</v>
      </c>
    </row>
    <row r="2" spans="1:26" x14ac:dyDescent="0.3">
      <c r="A2" t="s">
        <v>257</v>
      </c>
      <c r="B2" t="s">
        <v>295</v>
      </c>
      <c r="C2" t="s">
        <v>253</v>
      </c>
      <c r="D2" t="s">
        <v>302</v>
      </c>
      <c r="F2">
        <v>412482779</v>
      </c>
      <c r="G2">
        <v>411725146</v>
      </c>
      <c r="H2" s="3">
        <v>0.99816300000000002</v>
      </c>
      <c r="I2">
        <v>206584548</v>
      </c>
      <c r="J2" s="3">
        <v>0.50083200000000005</v>
      </c>
      <c r="K2">
        <v>205898231</v>
      </c>
      <c r="L2" s="3">
        <v>0.499168</v>
      </c>
      <c r="M2">
        <v>0</v>
      </c>
      <c r="N2" s="3">
        <v>0</v>
      </c>
      <c r="O2">
        <v>0</v>
      </c>
      <c r="P2" s="3">
        <v>1</v>
      </c>
      <c r="Q2">
        <v>411132029</v>
      </c>
      <c r="R2" s="3">
        <v>0.99672499999999997</v>
      </c>
      <c r="S2">
        <v>201550000</v>
      </c>
      <c r="T2">
        <v>210932779</v>
      </c>
      <c r="U2">
        <v>593117</v>
      </c>
      <c r="V2" s="3">
        <v>1.4379200000000001E-3</v>
      </c>
      <c r="W2">
        <v>18433.8</v>
      </c>
      <c r="X2">
        <v>194</v>
      </c>
    </row>
    <row r="3" spans="1:26" x14ac:dyDescent="0.3">
      <c r="A3" t="s">
        <v>257</v>
      </c>
      <c r="B3" t="s">
        <v>295</v>
      </c>
      <c r="C3" t="s">
        <v>253</v>
      </c>
      <c r="D3" t="s">
        <v>303</v>
      </c>
      <c r="F3">
        <v>357876999</v>
      </c>
      <c r="G3">
        <v>357184991</v>
      </c>
      <c r="H3" s="3">
        <v>0.99806600000000001</v>
      </c>
      <c r="I3">
        <v>179251994</v>
      </c>
      <c r="J3" s="3">
        <v>0.50087599999999999</v>
      </c>
      <c r="K3">
        <v>178625005</v>
      </c>
      <c r="L3" s="3">
        <v>0.49912400000000001</v>
      </c>
      <c r="M3">
        <v>0</v>
      </c>
      <c r="N3" s="3">
        <v>0</v>
      </c>
      <c r="O3">
        <v>0</v>
      </c>
      <c r="P3" s="3">
        <v>1</v>
      </c>
      <c r="Q3">
        <v>356691338</v>
      </c>
      <c r="R3" s="3">
        <v>0.99668699999999999</v>
      </c>
      <c r="S3">
        <v>175801217</v>
      </c>
      <c r="T3">
        <v>182075782</v>
      </c>
      <c r="U3">
        <v>493653</v>
      </c>
      <c r="V3" s="3">
        <v>1.3793900000000001E-3</v>
      </c>
      <c r="W3">
        <v>18236.400000000001</v>
      </c>
      <c r="X3">
        <v>202</v>
      </c>
    </row>
    <row r="4" spans="1:26" x14ac:dyDescent="0.3">
      <c r="A4" t="s">
        <v>257</v>
      </c>
      <c r="B4" t="s">
        <v>295</v>
      </c>
      <c r="C4" t="s">
        <v>253</v>
      </c>
      <c r="D4" t="s">
        <v>298</v>
      </c>
      <c r="F4">
        <v>460185086</v>
      </c>
      <c r="G4">
        <v>459115284</v>
      </c>
      <c r="H4" s="3">
        <v>0.99767499999999998</v>
      </c>
      <c r="I4">
        <v>230594340</v>
      </c>
      <c r="J4" s="3">
        <v>0.50109000000000004</v>
      </c>
      <c r="K4">
        <v>229590746</v>
      </c>
      <c r="L4" s="3">
        <v>0.49891000000000002</v>
      </c>
      <c r="M4">
        <v>0</v>
      </c>
      <c r="N4" s="3">
        <v>0</v>
      </c>
      <c r="O4">
        <v>0</v>
      </c>
      <c r="P4" s="3">
        <v>1</v>
      </c>
      <c r="Q4">
        <v>458290920</v>
      </c>
      <c r="R4" s="3">
        <v>0.99588399999999999</v>
      </c>
      <c r="S4">
        <v>222177524</v>
      </c>
      <c r="T4">
        <v>238007562</v>
      </c>
      <c r="U4">
        <v>824364</v>
      </c>
      <c r="V4" s="3">
        <v>1.79137E-3</v>
      </c>
      <c r="W4">
        <v>22780.1</v>
      </c>
      <c r="X4">
        <v>225</v>
      </c>
    </row>
    <row r="5" spans="1:26" x14ac:dyDescent="0.3">
      <c r="A5" t="s">
        <v>257</v>
      </c>
      <c r="B5" t="s">
        <v>295</v>
      </c>
      <c r="C5" t="s">
        <v>253</v>
      </c>
      <c r="D5" t="s">
        <v>297</v>
      </c>
      <c r="F5">
        <v>348456361</v>
      </c>
      <c r="G5">
        <v>347568429</v>
      </c>
      <c r="H5" s="3">
        <v>0.99745200000000001</v>
      </c>
      <c r="I5">
        <v>174636271</v>
      </c>
      <c r="J5" s="3">
        <v>0.50117100000000003</v>
      </c>
      <c r="K5">
        <v>173820090</v>
      </c>
      <c r="L5" s="3">
        <v>0.49882900000000002</v>
      </c>
      <c r="M5">
        <v>0</v>
      </c>
      <c r="N5" s="3">
        <v>0</v>
      </c>
      <c r="O5">
        <v>0</v>
      </c>
      <c r="P5" s="3">
        <v>1</v>
      </c>
      <c r="Q5">
        <v>346964541</v>
      </c>
      <c r="R5" s="3">
        <v>0.99571900000000002</v>
      </c>
      <c r="S5">
        <v>169875488</v>
      </c>
      <c r="T5">
        <v>178580873</v>
      </c>
      <c r="U5">
        <v>603888</v>
      </c>
      <c r="V5" s="3">
        <v>1.7330399999999999E-3</v>
      </c>
      <c r="W5">
        <v>20311.099999999999</v>
      </c>
      <c r="X5">
        <v>214</v>
      </c>
    </row>
    <row r="6" spans="1:26" x14ac:dyDescent="0.3">
      <c r="A6" t="s">
        <v>257</v>
      </c>
      <c r="B6" t="s">
        <v>295</v>
      </c>
      <c r="C6" t="s">
        <v>253</v>
      </c>
      <c r="D6" t="s">
        <v>299</v>
      </c>
      <c r="F6">
        <v>399860738</v>
      </c>
      <c r="G6">
        <v>398730852</v>
      </c>
      <c r="H6" s="3">
        <v>0.997174</v>
      </c>
      <c r="I6">
        <v>200459300</v>
      </c>
      <c r="J6" s="3">
        <v>0.50132299999999996</v>
      </c>
      <c r="K6">
        <v>199401438</v>
      </c>
      <c r="L6" s="3">
        <v>0.49867699999999998</v>
      </c>
      <c r="M6">
        <v>0</v>
      </c>
      <c r="N6" s="3">
        <v>0</v>
      </c>
      <c r="O6">
        <v>0</v>
      </c>
      <c r="P6" s="3">
        <v>1</v>
      </c>
      <c r="Q6">
        <v>397964343</v>
      </c>
      <c r="R6" s="3">
        <v>0.99525699999999995</v>
      </c>
      <c r="S6">
        <v>194698334</v>
      </c>
      <c r="T6">
        <v>205162404</v>
      </c>
      <c r="U6">
        <v>766509</v>
      </c>
      <c r="V6" s="3">
        <v>1.91694E-3</v>
      </c>
      <c r="W6">
        <v>22103.7</v>
      </c>
      <c r="X6">
        <v>227</v>
      </c>
    </row>
    <row r="7" spans="1:26" x14ac:dyDescent="0.3">
      <c r="A7" t="s">
        <v>257</v>
      </c>
      <c r="B7" t="s">
        <v>295</v>
      </c>
      <c r="C7" t="s">
        <v>253</v>
      </c>
      <c r="D7" t="s">
        <v>300</v>
      </c>
      <c r="F7">
        <v>409859516</v>
      </c>
      <c r="G7">
        <v>408681191</v>
      </c>
      <c r="H7" s="3">
        <v>0.99712500000000004</v>
      </c>
      <c r="I7">
        <v>205441933</v>
      </c>
      <c r="J7" s="3">
        <v>0.50124999999999997</v>
      </c>
      <c r="K7">
        <v>204417583</v>
      </c>
      <c r="L7" s="3">
        <v>0.49875000000000003</v>
      </c>
      <c r="M7">
        <v>0</v>
      </c>
      <c r="N7" s="3">
        <v>0</v>
      </c>
      <c r="O7">
        <v>0</v>
      </c>
      <c r="P7" s="3">
        <v>1</v>
      </c>
      <c r="Q7">
        <v>407728861</v>
      </c>
      <c r="R7" s="3">
        <v>0.99480100000000005</v>
      </c>
      <c r="S7">
        <v>198954830</v>
      </c>
      <c r="T7">
        <v>210904686</v>
      </c>
      <c r="U7">
        <v>952330</v>
      </c>
      <c r="V7" s="3">
        <v>2.3235500000000002E-3</v>
      </c>
      <c r="W7">
        <v>20363.5</v>
      </c>
      <c r="X7">
        <v>211</v>
      </c>
    </row>
    <row r="8" spans="1:26" x14ac:dyDescent="0.3">
      <c r="A8" t="s">
        <v>257</v>
      </c>
      <c r="B8" t="s">
        <v>295</v>
      </c>
      <c r="C8" t="s">
        <v>253</v>
      </c>
      <c r="D8" t="s">
        <v>301</v>
      </c>
      <c r="F8">
        <v>389810138</v>
      </c>
      <c r="G8">
        <v>388386862</v>
      </c>
      <c r="H8" s="3">
        <v>0.99634900000000004</v>
      </c>
      <c r="I8">
        <v>195584905</v>
      </c>
      <c r="J8" s="3">
        <v>0.50174399999999997</v>
      </c>
      <c r="K8">
        <v>194225233</v>
      </c>
      <c r="L8" s="3">
        <v>0.49825599999999998</v>
      </c>
      <c r="M8">
        <v>0</v>
      </c>
      <c r="N8" s="3">
        <v>0</v>
      </c>
      <c r="O8">
        <v>0</v>
      </c>
      <c r="P8" s="3">
        <v>1</v>
      </c>
      <c r="Q8">
        <v>387346552</v>
      </c>
      <c r="R8" s="3">
        <v>0.99368000000000001</v>
      </c>
      <c r="S8">
        <v>189395222</v>
      </c>
      <c r="T8">
        <v>200414916</v>
      </c>
      <c r="U8">
        <v>1040310</v>
      </c>
      <c r="V8" s="3">
        <v>2.6687600000000001E-3</v>
      </c>
      <c r="W8">
        <v>21292.9</v>
      </c>
      <c r="X8">
        <v>225</v>
      </c>
    </row>
    <row r="9" spans="1:26" x14ac:dyDescent="0.3">
      <c r="A9" t="s">
        <v>257</v>
      </c>
      <c r="B9" t="s">
        <v>295</v>
      </c>
      <c r="C9" t="s">
        <v>253</v>
      </c>
      <c r="D9" t="s">
        <v>296</v>
      </c>
    </row>
    <row r="10" spans="1:26" x14ac:dyDescent="0.3">
      <c r="A10" t="s">
        <v>257</v>
      </c>
      <c r="B10" t="s">
        <v>295</v>
      </c>
      <c r="C10" t="s">
        <v>142</v>
      </c>
      <c r="D10" t="s">
        <v>303</v>
      </c>
      <c r="F10">
        <v>163727194</v>
      </c>
      <c r="G10">
        <v>92506474</v>
      </c>
      <c r="H10" s="3">
        <v>0.56499999999999995</v>
      </c>
    </row>
    <row r="11" spans="1:26" x14ac:dyDescent="0.3">
      <c r="A11" t="s">
        <v>257</v>
      </c>
      <c r="B11" t="s">
        <v>295</v>
      </c>
      <c r="C11" t="s">
        <v>142</v>
      </c>
      <c r="D11" t="s">
        <v>297</v>
      </c>
      <c r="F11">
        <v>159193966</v>
      </c>
      <c r="G11">
        <v>85267367</v>
      </c>
      <c r="H11" s="3">
        <v>0.53600000000000003</v>
      </c>
    </row>
    <row r="12" spans="1:26" x14ac:dyDescent="0.3">
      <c r="A12" t="s">
        <v>257</v>
      </c>
      <c r="B12" t="s">
        <v>295</v>
      </c>
      <c r="C12" t="s">
        <v>142</v>
      </c>
      <c r="D12" t="s">
        <v>302</v>
      </c>
      <c r="F12">
        <v>185553981</v>
      </c>
      <c r="G12">
        <v>99419867</v>
      </c>
      <c r="H12" s="3">
        <v>0.53600000000000003</v>
      </c>
    </row>
    <row r="13" spans="1:26" x14ac:dyDescent="0.3">
      <c r="A13" t="s">
        <v>257</v>
      </c>
      <c r="B13" t="s">
        <v>295</v>
      </c>
      <c r="C13" t="s">
        <v>142</v>
      </c>
      <c r="D13" t="s">
        <v>301</v>
      </c>
      <c r="F13">
        <v>177828132</v>
      </c>
      <c r="G13">
        <v>92087601</v>
      </c>
      <c r="H13" s="3">
        <v>0.51800000000000002</v>
      </c>
    </row>
    <row r="14" spans="1:26" x14ac:dyDescent="0.3">
      <c r="A14" t="s">
        <v>257</v>
      </c>
      <c r="B14" t="s">
        <v>295</v>
      </c>
      <c r="C14" t="s">
        <v>142</v>
      </c>
      <c r="D14" t="s">
        <v>299</v>
      </c>
      <c r="F14">
        <v>182492642</v>
      </c>
      <c r="G14">
        <v>94284835</v>
      </c>
      <c r="H14" s="3">
        <v>0.51700000000000002</v>
      </c>
    </row>
    <row r="15" spans="1:26" x14ac:dyDescent="0.3">
      <c r="A15" t="s">
        <v>257</v>
      </c>
      <c r="B15" t="s">
        <v>295</v>
      </c>
      <c r="C15" t="s">
        <v>142</v>
      </c>
      <c r="D15" t="s">
        <v>300</v>
      </c>
      <c r="F15">
        <v>184752976</v>
      </c>
      <c r="G15">
        <v>94517703</v>
      </c>
      <c r="H15" s="3">
        <v>0.51200000000000001</v>
      </c>
    </row>
    <row r="16" spans="1:26" x14ac:dyDescent="0.3">
      <c r="A16" t="s">
        <v>257</v>
      </c>
      <c r="B16" t="s">
        <v>295</v>
      </c>
      <c r="C16" t="s">
        <v>142</v>
      </c>
      <c r="D16" t="s">
        <v>298</v>
      </c>
      <c r="F16">
        <v>206738775</v>
      </c>
      <c r="G16">
        <v>103688890</v>
      </c>
      <c r="H16" s="3">
        <v>0.502</v>
      </c>
    </row>
    <row r="17" spans="1:24" x14ac:dyDescent="0.3">
      <c r="A17" t="s">
        <v>257</v>
      </c>
      <c r="B17" t="s">
        <v>295</v>
      </c>
      <c r="C17" t="s">
        <v>142</v>
      </c>
      <c r="D17" t="s">
        <v>296</v>
      </c>
    </row>
    <row r="18" spans="1:24" x14ac:dyDescent="0.3">
      <c r="A18" t="s">
        <v>257</v>
      </c>
      <c r="B18" t="s">
        <v>295</v>
      </c>
      <c r="C18" t="s">
        <v>254</v>
      </c>
      <c r="D18" t="s">
        <v>303</v>
      </c>
      <c r="F18">
        <v>163727194</v>
      </c>
      <c r="G18">
        <v>130437917</v>
      </c>
      <c r="H18" s="3">
        <v>0.79700000000000004</v>
      </c>
    </row>
    <row r="19" spans="1:24" x14ac:dyDescent="0.3">
      <c r="A19" t="s">
        <v>257</v>
      </c>
      <c r="B19" t="s">
        <v>295</v>
      </c>
      <c r="C19" t="s">
        <v>254</v>
      </c>
      <c r="D19" t="s">
        <v>302</v>
      </c>
      <c r="F19">
        <v>185553981</v>
      </c>
      <c r="G19">
        <v>144380873</v>
      </c>
      <c r="H19" s="3">
        <v>0.77800000000000002</v>
      </c>
    </row>
    <row r="20" spans="1:24" x14ac:dyDescent="0.3">
      <c r="A20" t="s">
        <v>257</v>
      </c>
      <c r="B20" t="s">
        <v>295</v>
      </c>
      <c r="C20" t="s">
        <v>254</v>
      </c>
      <c r="D20" t="s">
        <v>297</v>
      </c>
      <c r="F20">
        <v>159193966</v>
      </c>
      <c r="G20">
        <v>123081416</v>
      </c>
      <c r="H20" s="3">
        <v>0.77300000000000002</v>
      </c>
    </row>
    <row r="21" spans="1:24" x14ac:dyDescent="0.3">
      <c r="A21" t="s">
        <v>257</v>
      </c>
      <c r="B21" t="s">
        <v>295</v>
      </c>
      <c r="C21" t="s">
        <v>254</v>
      </c>
      <c r="D21" t="s">
        <v>298</v>
      </c>
      <c r="F21">
        <v>206738775</v>
      </c>
      <c r="G21">
        <v>158686851</v>
      </c>
      <c r="H21" s="3">
        <v>0.76800000000000002</v>
      </c>
    </row>
    <row r="22" spans="1:24" x14ac:dyDescent="0.3">
      <c r="A22" t="s">
        <v>257</v>
      </c>
      <c r="B22" t="s">
        <v>295</v>
      </c>
      <c r="C22" t="s">
        <v>254</v>
      </c>
      <c r="D22" t="s">
        <v>296</v>
      </c>
      <c r="F22">
        <v>187149411</v>
      </c>
      <c r="G22">
        <v>143413820</v>
      </c>
      <c r="H22" s="3">
        <v>0.76600000000000001</v>
      </c>
    </row>
    <row r="23" spans="1:24" x14ac:dyDescent="0.3">
      <c r="A23" t="s">
        <v>257</v>
      </c>
      <c r="B23" t="s">
        <v>295</v>
      </c>
      <c r="C23" t="s">
        <v>254</v>
      </c>
      <c r="D23" t="s">
        <v>299</v>
      </c>
      <c r="F23">
        <v>182492642</v>
      </c>
      <c r="G23">
        <v>139273358</v>
      </c>
      <c r="H23" s="3">
        <v>0.76300000000000001</v>
      </c>
    </row>
    <row r="24" spans="1:24" x14ac:dyDescent="0.3">
      <c r="A24" t="s">
        <v>257</v>
      </c>
      <c r="B24" t="s">
        <v>295</v>
      </c>
      <c r="C24" t="s">
        <v>254</v>
      </c>
      <c r="D24" t="s">
        <v>300</v>
      </c>
      <c r="F24">
        <v>184752976</v>
      </c>
      <c r="G24">
        <v>141044571</v>
      </c>
      <c r="H24" s="3">
        <v>0.76300000000000001</v>
      </c>
    </row>
    <row r="25" spans="1:24" x14ac:dyDescent="0.3">
      <c r="A25" t="s">
        <v>257</v>
      </c>
      <c r="B25" t="s">
        <v>295</v>
      </c>
      <c r="C25" t="s">
        <v>254</v>
      </c>
      <c r="D25" t="s">
        <v>301</v>
      </c>
      <c r="F25">
        <v>177828132</v>
      </c>
      <c r="G25">
        <v>134312159</v>
      </c>
      <c r="H25" s="3">
        <v>0.755</v>
      </c>
    </row>
    <row r="26" spans="1:24" x14ac:dyDescent="0.3">
      <c r="A26" t="s">
        <v>257</v>
      </c>
      <c r="B26" t="s">
        <v>295</v>
      </c>
      <c r="C26" t="s">
        <v>252</v>
      </c>
      <c r="D26" t="s">
        <v>298</v>
      </c>
      <c r="F26">
        <v>483792431</v>
      </c>
      <c r="G26">
        <v>429754151</v>
      </c>
      <c r="H26" s="3">
        <v>0.88830299999999995</v>
      </c>
      <c r="I26">
        <v>269020983</v>
      </c>
      <c r="J26" s="3">
        <v>0.55606699999999998</v>
      </c>
      <c r="K26">
        <v>214771448</v>
      </c>
      <c r="L26" s="3">
        <v>0.44393300000000002</v>
      </c>
      <c r="M26">
        <v>0</v>
      </c>
      <c r="N26" s="3">
        <v>0</v>
      </c>
      <c r="O26">
        <v>0</v>
      </c>
      <c r="P26" s="3">
        <v>1</v>
      </c>
      <c r="Q26">
        <v>429749504</v>
      </c>
      <c r="R26" s="3">
        <v>0.888293</v>
      </c>
      <c r="S26">
        <v>231553321</v>
      </c>
      <c r="T26">
        <v>252239110</v>
      </c>
      <c r="U26">
        <v>4647</v>
      </c>
      <c r="V26" s="3">
        <v>9.6053600000000001E-6</v>
      </c>
      <c r="W26">
        <v>39515.1</v>
      </c>
      <c r="X26">
        <v>227</v>
      </c>
    </row>
    <row r="27" spans="1:24" x14ac:dyDescent="0.3">
      <c r="A27" t="s">
        <v>257</v>
      </c>
      <c r="B27" t="s">
        <v>295</v>
      </c>
      <c r="C27" t="s">
        <v>252</v>
      </c>
      <c r="D27" t="s">
        <v>299</v>
      </c>
      <c r="F27">
        <v>422244671</v>
      </c>
      <c r="G27">
        <v>373296767</v>
      </c>
      <c r="H27" s="3">
        <v>0.884077</v>
      </c>
      <c r="I27">
        <v>235761697</v>
      </c>
      <c r="J27" s="3">
        <v>0.55835299999999999</v>
      </c>
      <c r="K27">
        <v>186482974</v>
      </c>
      <c r="L27" s="3">
        <v>0.44164700000000001</v>
      </c>
      <c r="M27">
        <v>0</v>
      </c>
      <c r="N27" s="3">
        <v>0</v>
      </c>
      <c r="O27">
        <v>0</v>
      </c>
      <c r="P27" s="3">
        <v>1</v>
      </c>
      <c r="Q27">
        <v>373292013</v>
      </c>
      <c r="R27" s="3">
        <v>0.88406600000000002</v>
      </c>
      <c r="S27">
        <v>203331197</v>
      </c>
      <c r="T27">
        <v>218913474</v>
      </c>
      <c r="U27">
        <v>4754</v>
      </c>
      <c r="V27" s="3">
        <v>1.12589E-5</v>
      </c>
      <c r="W27">
        <v>38658.699999999997</v>
      </c>
      <c r="X27">
        <v>229</v>
      </c>
    </row>
    <row r="28" spans="1:24" x14ac:dyDescent="0.3">
      <c r="A28" t="s">
        <v>257</v>
      </c>
      <c r="B28" t="s">
        <v>295</v>
      </c>
      <c r="C28" t="s">
        <v>252</v>
      </c>
      <c r="D28" t="s">
        <v>303</v>
      </c>
      <c r="F28">
        <v>376583306</v>
      </c>
      <c r="G28">
        <v>331785541</v>
      </c>
      <c r="H28" s="3">
        <v>0.88104199999999999</v>
      </c>
      <c r="I28">
        <v>210851124</v>
      </c>
      <c r="J28" s="3">
        <v>0.55990600000000001</v>
      </c>
      <c r="K28">
        <v>165732182</v>
      </c>
      <c r="L28" s="3">
        <v>0.44009399999999999</v>
      </c>
      <c r="M28">
        <v>0</v>
      </c>
      <c r="N28" s="3">
        <v>0</v>
      </c>
      <c r="O28">
        <v>0</v>
      </c>
      <c r="P28" s="3">
        <v>1</v>
      </c>
      <c r="Q28">
        <v>331781801</v>
      </c>
      <c r="R28" s="3">
        <v>0.88103200000000004</v>
      </c>
      <c r="S28">
        <v>183376732</v>
      </c>
      <c r="T28">
        <v>193206574</v>
      </c>
      <c r="U28">
        <v>3740</v>
      </c>
      <c r="V28" s="3">
        <v>9.9313999999999995E-6</v>
      </c>
      <c r="W28">
        <v>34383.4</v>
      </c>
      <c r="X28">
        <v>204</v>
      </c>
    </row>
    <row r="29" spans="1:24" x14ac:dyDescent="0.3">
      <c r="A29" t="s">
        <v>257</v>
      </c>
      <c r="B29" t="s">
        <v>295</v>
      </c>
      <c r="C29" t="s">
        <v>252</v>
      </c>
      <c r="D29" t="s">
        <v>302</v>
      </c>
      <c r="F29">
        <v>185462953</v>
      </c>
      <c r="G29">
        <v>163118727</v>
      </c>
      <c r="H29" s="3">
        <v>0.87952200000000003</v>
      </c>
      <c r="I29">
        <v>103985681</v>
      </c>
      <c r="J29" s="3">
        <v>0.56068200000000001</v>
      </c>
      <c r="K29">
        <v>81477272</v>
      </c>
      <c r="L29" s="3">
        <v>0.43931799999999999</v>
      </c>
      <c r="M29">
        <v>0</v>
      </c>
      <c r="N29" s="3">
        <v>0</v>
      </c>
      <c r="O29">
        <v>0</v>
      </c>
      <c r="P29" s="3">
        <v>1</v>
      </c>
      <c r="Q29">
        <v>163116331</v>
      </c>
      <c r="R29" s="3">
        <v>0.87950899999999999</v>
      </c>
      <c r="S29">
        <v>89823654</v>
      </c>
      <c r="T29">
        <v>95639299</v>
      </c>
      <c r="U29">
        <v>2396</v>
      </c>
      <c r="V29" s="3">
        <v>1.2918999999999999E-5</v>
      </c>
      <c r="W29">
        <v>32431</v>
      </c>
      <c r="X29">
        <v>197</v>
      </c>
    </row>
    <row r="30" spans="1:24" x14ac:dyDescent="0.3">
      <c r="A30" t="s">
        <v>257</v>
      </c>
      <c r="B30" t="s">
        <v>295</v>
      </c>
      <c r="C30" t="s">
        <v>252</v>
      </c>
      <c r="D30" t="s">
        <v>300</v>
      </c>
      <c r="F30">
        <v>79382009</v>
      </c>
      <c r="G30">
        <v>69754760</v>
      </c>
      <c r="H30" s="3">
        <v>0.87872300000000003</v>
      </c>
      <c r="I30">
        <v>44503895</v>
      </c>
      <c r="J30" s="3">
        <v>0.56062999999999996</v>
      </c>
      <c r="K30">
        <v>34878114</v>
      </c>
      <c r="L30" s="3">
        <v>0.43936999999999998</v>
      </c>
      <c r="M30">
        <v>0</v>
      </c>
      <c r="N30" s="3">
        <v>0</v>
      </c>
      <c r="O30">
        <v>0</v>
      </c>
      <c r="P30" s="3">
        <v>1</v>
      </c>
      <c r="Q30">
        <v>69749311</v>
      </c>
      <c r="R30" s="3">
        <v>0.87865400000000005</v>
      </c>
      <c r="S30">
        <v>38236890</v>
      </c>
      <c r="T30">
        <v>41145119</v>
      </c>
      <c r="U30">
        <v>5449</v>
      </c>
      <c r="V30" s="3">
        <v>6.8642799999999999E-5</v>
      </c>
      <c r="W30">
        <v>36470</v>
      </c>
      <c r="X30">
        <v>213</v>
      </c>
    </row>
    <row r="31" spans="1:24" x14ac:dyDescent="0.3">
      <c r="A31" t="s">
        <v>257</v>
      </c>
      <c r="B31" t="s">
        <v>295</v>
      </c>
      <c r="C31" t="s">
        <v>252</v>
      </c>
      <c r="D31" t="s">
        <v>301</v>
      </c>
      <c r="F31">
        <v>417618447</v>
      </c>
      <c r="G31">
        <v>366357950</v>
      </c>
      <c r="H31" s="3">
        <v>0.87725500000000001</v>
      </c>
      <c r="I31">
        <v>234480487</v>
      </c>
      <c r="J31" s="3">
        <v>0.56147100000000005</v>
      </c>
      <c r="K31">
        <v>183137960</v>
      </c>
      <c r="L31" s="3">
        <v>0.438529</v>
      </c>
      <c r="M31">
        <v>0</v>
      </c>
      <c r="N31" s="3">
        <v>0</v>
      </c>
      <c r="O31">
        <v>0</v>
      </c>
      <c r="P31" s="3">
        <v>1</v>
      </c>
      <c r="Q31">
        <v>366340170</v>
      </c>
      <c r="R31" s="3">
        <v>0.87721300000000002</v>
      </c>
      <c r="S31">
        <v>200866346</v>
      </c>
      <c r="T31">
        <v>216752101</v>
      </c>
      <c r="U31">
        <v>17780</v>
      </c>
      <c r="V31" s="3">
        <v>4.2574799999999998E-5</v>
      </c>
      <c r="W31">
        <v>45511.1</v>
      </c>
      <c r="X31">
        <v>227</v>
      </c>
    </row>
    <row r="32" spans="1:24" x14ac:dyDescent="0.3">
      <c r="A32" t="s">
        <v>257</v>
      </c>
      <c r="B32" t="s">
        <v>295</v>
      </c>
      <c r="C32" t="s">
        <v>252</v>
      </c>
      <c r="D32" t="s">
        <v>297</v>
      </c>
      <c r="F32">
        <v>372271241</v>
      </c>
      <c r="G32">
        <v>325701834</v>
      </c>
      <c r="H32" s="3">
        <v>0.87490500000000004</v>
      </c>
      <c r="I32">
        <v>209454164</v>
      </c>
      <c r="J32" s="3">
        <v>0.562639</v>
      </c>
      <c r="K32">
        <v>162817077</v>
      </c>
      <c r="L32" s="3">
        <v>0.437361</v>
      </c>
      <c r="M32">
        <v>0</v>
      </c>
      <c r="N32" s="3">
        <v>0</v>
      </c>
      <c r="O32">
        <v>0</v>
      </c>
      <c r="P32" s="3">
        <v>1</v>
      </c>
      <c r="Q32">
        <v>325697800</v>
      </c>
      <c r="R32" s="3">
        <v>0.87489399999999995</v>
      </c>
      <c r="S32">
        <v>180206678</v>
      </c>
      <c r="T32">
        <v>192064563</v>
      </c>
      <c r="U32">
        <v>4034</v>
      </c>
      <c r="V32" s="3">
        <v>1.08362E-5</v>
      </c>
      <c r="W32">
        <v>43308.2</v>
      </c>
      <c r="X32">
        <v>216</v>
      </c>
    </row>
    <row r="33" spans="1:24" x14ac:dyDescent="0.3">
      <c r="A33" t="s">
        <v>257</v>
      </c>
      <c r="B33" t="s">
        <v>295</v>
      </c>
      <c r="C33" t="s">
        <v>252</v>
      </c>
      <c r="D33" t="s">
        <v>296</v>
      </c>
    </row>
    <row r="34" spans="1:24" x14ac:dyDescent="0.3">
      <c r="A34" t="s">
        <v>257</v>
      </c>
      <c r="B34" t="s">
        <v>295</v>
      </c>
      <c r="C34" t="s">
        <v>97</v>
      </c>
      <c r="D34" t="s">
        <v>302</v>
      </c>
      <c r="F34">
        <v>403751143</v>
      </c>
      <c r="G34">
        <v>403111935</v>
      </c>
      <c r="H34" s="3">
        <v>0.998417</v>
      </c>
      <c r="I34">
        <v>201977608</v>
      </c>
      <c r="J34" s="3">
        <v>0.50025299999999995</v>
      </c>
      <c r="K34">
        <v>201773535</v>
      </c>
      <c r="L34" s="3">
        <v>0.499747</v>
      </c>
      <c r="M34">
        <v>68750022</v>
      </c>
      <c r="N34" s="3">
        <v>0.17027800000000001</v>
      </c>
      <c r="Q34">
        <v>402703324</v>
      </c>
      <c r="R34" s="3">
        <v>0.99740499999999999</v>
      </c>
      <c r="S34">
        <v>197159623</v>
      </c>
      <c r="T34">
        <v>206591520</v>
      </c>
      <c r="U34">
        <v>408611</v>
      </c>
      <c r="V34" s="3">
        <v>1.0120400000000001E-3</v>
      </c>
      <c r="W34">
        <v>8413.09</v>
      </c>
      <c r="X34">
        <v>193</v>
      </c>
    </row>
    <row r="35" spans="1:24" x14ac:dyDescent="0.3">
      <c r="A35" t="s">
        <v>257</v>
      </c>
      <c r="B35" t="s">
        <v>295</v>
      </c>
      <c r="C35" t="s">
        <v>97</v>
      </c>
      <c r="D35" t="s">
        <v>296</v>
      </c>
      <c r="F35">
        <v>404513541</v>
      </c>
      <c r="G35">
        <v>403672559</v>
      </c>
      <c r="H35" s="3">
        <v>0.99792099999999995</v>
      </c>
      <c r="I35">
        <v>202380068</v>
      </c>
      <c r="J35" s="3">
        <v>0.500305</v>
      </c>
      <c r="K35">
        <v>202133473</v>
      </c>
      <c r="L35" s="3">
        <v>0.499695</v>
      </c>
      <c r="M35">
        <v>71445874</v>
      </c>
      <c r="N35" s="3">
        <v>0.176622</v>
      </c>
      <c r="Q35">
        <v>403185693</v>
      </c>
      <c r="R35" s="3">
        <v>0.99671699999999996</v>
      </c>
      <c r="S35">
        <v>196108543</v>
      </c>
      <c r="T35">
        <v>208404998</v>
      </c>
      <c r="U35">
        <v>486866</v>
      </c>
      <c r="V35" s="3">
        <v>1.2035800000000001E-3</v>
      </c>
      <c r="W35">
        <v>9226.1200000000008</v>
      </c>
      <c r="X35">
        <v>219</v>
      </c>
    </row>
    <row r="36" spans="1:24" x14ac:dyDescent="0.3">
      <c r="A36" t="s">
        <v>257</v>
      </c>
      <c r="B36" t="s">
        <v>295</v>
      </c>
      <c r="C36" t="s">
        <v>97</v>
      </c>
      <c r="D36" t="s">
        <v>298</v>
      </c>
      <c r="F36">
        <v>173319500</v>
      </c>
      <c r="G36">
        <v>172957650</v>
      </c>
      <c r="H36" s="3">
        <v>0.99791200000000002</v>
      </c>
      <c r="I36">
        <v>86735264</v>
      </c>
      <c r="J36" s="3">
        <v>0.50043599999999999</v>
      </c>
      <c r="K36">
        <v>86584236</v>
      </c>
      <c r="L36" s="3">
        <v>0.49956400000000001</v>
      </c>
      <c r="M36">
        <v>32998577</v>
      </c>
      <c r="N36" s="3">
        <v>0.19039200000000001</v>
      </c>
      <c r="O36">
        <v>0</v>
      </c>
      <c r="P36" s="3">
        <v>1</v>
      </c>
      <c r="Q36">
        <v>172740621</v>
      </c>
      <c r="R36" s="3">
        <v>0.99665999999999999</v>
      </c>
      <c r="S36">
        <v>83732156</v>
      </c>
      <c r="T36">
        <v>89587344</v>
      </c>
      <c r="U36">
        <v>217029</v>
      </c>
      <c r="V36" s="3">
        <v>1.25219E-3</v>
      </c>
      <c r="W36">
        <v>9871.52</v>
      </c>
      <c r="X36">
        <v>223</v>
      </c>
    </row>
    <row r="37" spans="1:24" x14ac:dyDescent="0.3">
      <c r="A37" t="s">
        <v>257</v>
      </c>
      <c r="B37" t="s">
        <v>295</v>
      </c>
      <c r="C37" t="s">
        <v>97</v>
      </c>
      <c r="D37" t="s">
        <v>297</v>
      </c>
      <c r="F37">
        <v>341442432</v>
      </c>
      <c r="G37">
        <v>340710780</v>
      </c>
      <c r="H37" s="3">
        <v>0.99785699999999999</v>
      </c>
      <c r="I37">
        <v>170897380</v>
      </c>
      <c r="J37" s="3">
        <v>0.50051599999999996</v>
      </c>
      <c r="K37">
        <v>170545052</v>
      </c>
      <c r="L37" s="3">
        <v>0.49948399999999998</v>
      </c>
      <c r="M37">
        <v>54810994</v>
      </c>
      <c r="N37" s="3">
        <v>0.160528</v>
      </c>
      <c r="Q37">
        <v>340355930</v>
      </c>
      <c r="R37" s="3">
        <v>0.99681799999999998</v>
      </c>
      <c r="S37">
        <v>166483381</v>
      </c>
      <c r="T37">
        <v>174959051</v>
      </c>
      <c r="U37">
        <v>354850</v>
      </c>
      <c r="V37" s="3">
        <v>1.0392699999999999E-3</v>
      </c>
      <c r="W37">
        <v>8608.4500000000007</v>
      </c>
      <c r="X37">
        <v>213</v>
      </c>
    </row>
    <row r="38" spans="1:24" x14ac:dyDescent="0.3">
      <c r="A38" t="s">
        <v>257</v>
      </c>
      <c r="B38" t="s">
        <v>295</v>
      </c>
      <c r="C38" t="s">
        <v>97</v>
      </c>
      <c r="D38" t="s">
        <v>300</v>
      </c>
      <c r="F38">
        <v>400734339</v>
      </c>
      <c r="G38">
        <v>399803385</v>
      </c>
      <c r="H38" s="3">
        <v>0.99767700000000004</v>
      </c>
      <c r="I38">
        <v>200479643</v>
      </c>
      <c r="J38" s="3">
        <v>0.50028099999999998</v>
      </c>
      <c r="K38">
        <v>200254696</v>
      </c>
      <c r="L38" s="3">
        <v>0.49971900000000002</v>
      </c>
      <c r="M38">
        <v>70756739</v>
      </c>
      <c r="N38" s="3">
        <v>0.176568</v>
      </c>
      <c r="Q38">
        <v>399202408</v>
      </c>
      <c r="R38" s="3">
        <v>0.99617699999999998</v>
      </c>
      <c r="S38">
        <v>194620811</v>
      </c>
      <c r="T38">
        <v>206113528</v>
      </c>
      <c r="U38">
        <v>600977</v>
      </c>
      <c r="V38" s="3">
        <v>1.4996899999999999E-3</v>
      </c>
      <c r="W38">
        <v>8942.5499999999993</v>
      </c>
      <c r="X38">
        <v>209</v>
      </c>
    </row>
    <row r="39" spans="1:24" x14ac:dyDescent="0.3">
      <c r="A39" t="s">
        <v>257</v>
      </c>
      <c r="B39" t="s">
        <v>295</v>
      </c>
      <c r="C39" t="s">
        <v>97</v>
      </c>
      <c r="D39" t="s">
        <v>299</v>
      </c>
      <c r="F39">
        <v>200037468</v>
      </c>
      <c r="G39">
        <v>199513575</v>
      </c>
      <c r="H39" s="3">
        <v>0.99738099999999996</v>
      </c>
      <c r="I39">
        <v>100153551</v>
      </c>
      <c r="J39" s="3">
        <v>0.50067399999999995</v>
      </c>
      <c r="K39">
        <v>99883917</v>
      </c>
      <c r="L39" s="3">
        <v>0.49932599999999999</v>
      </c>
      <c r="M39">
        <v>32885519</v>
      </c>
      <c r="N39" s="3">
        <v>0.16439699999999999</v>
      </c>
      <c r="Q39">
        <v>199247825</v>
      </c>
      <c r="R39" s="3">
        <v>0.99605200000000005</v>
      </c>
      <c r="S39">
        <v>97453578</v>
      </c>
      <c r="T39">
        <v>102583890</v>
      </c>
      <c r="U39">
        <v>265750</v>
      </c>
      <c r="V39" s="3">
        <v>1.3285E-3</v>
      </c>
      <c r="W39">
        <v>9337.0499999999993</v>
      </c>
      <c r="X39">
        <v>226</v>
      </c>
    </row>
    <row r="40" spans="1:24" x14ac:dyDescent="0.3">
      <c r="A40" t="s">
        <v>257</v>
      </c>
      <c r="B40" t="s">
        <v>295</v>
      </c>
      <c r="C40" t="s">
        <v>97</v>
      </c>
      <c r="D40" t="s">
        <v>301</v>
      </c>
      <c r="F40">
        <v>381579401</v>
      </c>
      <c r="G40">
        <v>380463413</v>
      </c>
      <c r="H40" s="3">
        <v>0.99707500000000004</v>
      </c>
      <c r="I40">
        <v>191025159</v>
      </c>
      <c r="J40" s="3">
        <v>0.50061699999999998</v>
      </c>
      <c r="K40">
        <v>190554242</v>
      </c>
      <c r="L40" s="3">
        <v>0.49938300000000002</v>
      </c>
      <c r="M40">
        <v>64637979</v>
      </c>
      <c r="N40" s="3">
        <v>0.16939599999999999</v>
      </c>
      <c r="Q40">
        <v>379858686</v>
      </c>
      <c r="R40" s="3">
        <v>0.99549100000000001</v>
      </c>
      <c r="S40">
        <v>185551009</v>
      </c>
      <c r="T40">
        <v>196028392</v>
      </c>
      <c r="U40">
        <v>604727</v>
      </c>
      <c r="V40" s="3">
        <v>1.5847999999999999E-3</v>
      </c>
      <c r="W40">
        <v>9169.24</v>
      </c>
      <c r="X40">
        <v>223</v>
      </c>
    </row>
    <row r="41" spans="1:24" x14ac:dyDescent="0.3">
      <c r="A41" t="s">
        <v>257</v>
      </c>
      <c r="B41" t="s">
        <v>295</v>
      </c>
      <c r="C41" t="s">
        <v>97</v>
      </c>
      <c r="D41" t="s">
        <v>303</v>
      </c>
    </row>
    <row r="42" spans="1:24" x14ac:dyDescent="0.3">
      <c r="A42" t="s">
        <v>294</v>
      </c>
      <c r="B42" t="s">
        <v>295</v>
      </c>
      <c r="C42" t="s">
        <v>253</v>
      </c>
      <c r="D42" t="s">
        <v>351</v>
      </c>
      <c r="F42">
        <v>89060825</v>
      </c>
      <c r="G42">
        <v>87366403</v>
      </c>
      <c r="H42" s="3">
        <v>0.98097500000000004</v>
      </c>
      <c r="I42">
        <v>45444032</v>
      </c>
      <c r="J42" s="3">
        <v>0.51025799999999999</v>
      </c>
      <c r="K42">
        <v>43616793</v>
      </c>
      <c r="L42" s="3">
        <v>0.48974200000000001</v>
      </c>
      <c r="M42">
        <v>0</v>
      </c>
      <c r="N42" s="3">
        <v>0</v>
      </c>
      <c r="O42">
        <v>0</v>
      </c>
      <c r="P42" s="3">
        <v>1</v>
      </c>
      <c r="Q42">
        <v>86979875</v>
      </c>
      <c r="R42" s="3">
        <v>0.97663500000000003</v>
      </c>
      <c r="S42">
        <v>44523103</v>
      </c>
      <c r="T42">
        <v>44537722</v>
      </c>
      <c r="U42">
        <v>386528</v>
      </c>
      <c r="V42" s="3">
        <v>4.3400499999999998E-3</v>
      </c>
      <c r="W42">
        <v>42576.5</v>
      </c>
      <c r="X42">
        <v>183</v>
      </c>
    </row>
    <row r="43" spans="1:24" x14ac:dyDescent="0.3">
      <c r="A43" t="s">
        <v>294</v>
      </c>
      <c r="B43" t="s">
        <v>295</v>
      </c>
      <c r="C43" t="s">
        <v>253</v>
      </c>
      <c r="D43" t="s">
        <v>335</v>
      </c>
      <c r="F43">
        <v>73544259</v>
      </c>
      <c r="G43">
        <v>71890588</v>
      </c>
      <c r="H43" s="3">
        <v>0.97751500000000002</v>
      </c>
      <c r="I43">
        <v>37716593</v>
      </c>
      <c r="J43" s="3">
        <v>0.51284200000000002</v>
      </c>
      <c r="K43">
        <v>35827666</v>
      </c>
      <c r="L43" s="3">
        <v>0.48715799999999998</v>
      </c>
      <c r="M43">
        <v>0</v>
      </c>
      <c r="N43" s="3">
        <v>0</v>
      </c>
      <c r="O43">
        <v>0</v>
      </c>
      <c r="P43" s="3">
        <v>1</v>
      </c>
      <c r="Q43">
        <v>71547575</v>
      </c>
      <c r="R43" s="3">
        <v>0.97285100000000002</v>
      </c>
      <c r="S43">
        <v>36774667</v>
      </c>
      <c r="T43">
        <v>36769592</v>
      </c>
      <c r="U43">
        <v>343013</v>
      </c>
      <c r="V43" s="3">
        <v>4.6640400000000004E-3</v>
      </c>
      <c r="W43">
        <v>42766.9</v>
      </c>
      <c r="X43">
        <v>184</v>
      </c>
    </row>
    <row r="44" spans="1:24" x14ac:dyDescent="0.3">
      <c r="A44" t="s">
        <v>294</v>
      </c>
      <c r="B44" t="s">
        <v>295</v>
      </c>
      <c r="C44" t="s">
        <v>253</v>
      </c>
      <c r="D44" t="s">
        <v>337</v>
      </c>
      <c r="F44">
        <v>70036306</v>
      </c>
      <c r="G44">
        <v>68415486</v>
      </c>
      <c r="H44" s="3">
        <v>0.97685699999999998</v>
      </c>
      <c r="I44">
        <v>35885516</v>
      </c>
      <c r="J44" s="3">
        <v>0.51238399999999995</v>
      </c>
      <c r="K44">
        <v>34150790</v>
      </c>
      <c r="L44" s="3">
        <v>0.48761599999999999</v>
      </c>
      <c r="M44">
        <v>0</v>
      </c>
      <c r="N44" s="3">
        <v>0</v>
      </c>
      <c r="O44">
        <v>0</v>
      </c>
      <c r="P44" s="3">
        <v>1</v>
      </c>
      <c r="Q44">
        <v>68099039</v>
      </c>
      <c r="R44" s="3">
        <v>0.97233899999999995</v>
      </c>
      <c r="S44">
        <v>34987406</v>
      </c>
      <c r="T44">
        <v>35048900</v>
      </c>
      <c r="U44">
        <v>316447</v>
      </c>
      <c r="V44" s="3">
        <v>4.5183300000000001E-3</v>
      </c>
      <c r="W44">
        <v>43839.1</v>
      </c>
      <c r="X44">
        <v>184</v>
      </c>
    </row>
    <row r="45" spans="1:24" x14ac:dyDescent="0.3">
      <c r="A45" t="s">
        <v>294</v>
      </c>
      <c r="B45" t="s">
        <v>295</v>
      </c>
      <c r="C45" t="s">
        <v>253</v>
      </c>
      <c r="D45" t="s">
        <v>331</v>
      </c>
      <c r="F45">
        <v>72675776</v>
      </c>
      <c r="G45">
        <v>70903725</v>
      </c>
      <c r="H45" s="3">
        <v>0.97561699999999996</v>
      </c>
      <c r="I45">
        <v>37302018</v>
      </c>
      <c r="J45" s="3">
        <v>0.513266</v>
      </c>
      <c r="K45">
        <v>35373758</v>
      </c>
      <c r="L45" s="3">
        <v>0.486734</v>
      </c>
      <c r="M45">
        <v>0</v>
      </c>
      <c r="N45" s="3">
        <v>0</v>
      </c>
      <c r="O45">
        <v>0</v>
      </c>
      <c r="P45" s="3">
        <v>1</v>
      </c>
      <c r="Q45">
        <v>70570145</v>
      </c>
      <c r="R45" s="3">
        <v>0.97102699999999997</v>
      </c>
      <c r="S45">
        <v>36327880</v>
      </c>
      <c r="T45">
        <v>36347896</v>
      </c>
      <c r="U45">
        <v>333580</v>
      </c>
      <c r="V45" s="3">
        <v>4.5899699999999996E-3</v>
      </c>
      <c r="W45">
        <v>42747.3</v>
      </c>
      <c r="X45">
        <v>184</v>
      </c>
    </row>
    <row r="46" spans="1:24" x14ac:dyDescent="0.3">
      <c r="A46" t="s">
        <v>294</v>
      </c>
      <c r="B46" t="s">
        <v>295</v>
      </c>
      <c r="C46" t="s">
        <v>253</v>
      </c>
      <c r="D46" t="s">
        <v>352</v>
      </c>
      <c r="F46">
        <v>77407148</v>
      </c>
      <c r="G46">
        <v>75499971</v>
      </c>
      <c r="H46" s="3">
        <v>0.97536199999999995</v>
      </c>
      <c r="I46">
        <v>39761846</v>
      </c>
      <c r="J46" s="3">
        <v>0.51367200000000002</v>
      </c>
      <c r="K46">
        <v>37645302</v>
      </c>
      <c r="L46" s="3">
        <v>0.48632900000000001</v>
      </c>
      <c r="M46">
        <v>0</v>
      </c>
      <c r="N46" s="3">
        <v>0</v>
      </c>
      <c r="O46">
        <v>0</v>
      </c>
      <c r="P46" s="3">
        <v>1</v>
      </c>
      <c r="Q46">
        <v>75143746</v>
      </c>
      <c r="R46" s="3">
        <v>0.97075999999999996</v>
      </c>
      <c r="S46">
        <v>38675499</v>
      </c>
      <c r="T46">
        <v>38731649</v>
      </c>
      <c r="U46">
        <v>356225</v>
      </c>
      <c r="V46" s="3">
        <v>4.6019600000000004E-3</v>
      </c>
      <c r="W46">
        <v>42145.3</v>
      </c>
      <c r="X46">
        <v>178</v>
      </c>
    </row>
    <row r="47" spans="1:24" x14ac:dyDescent="0.3">
      <c r="A47" t="s">
        <v>294</v>
      </c>
      <c r="B47" t="s">
        <v>295</v>
      </c>
      <c r="C47" t="s">
        <v>253</v>
      </c>
      <c r="D47" t="s">
        <v>362</v>
      </c>
      <c r="F47">
        <v>84490434</v>
      </c>
      <c r="G47">
        <v>82349820</v>
      </c>
      <c r="H47" s="3">
        <v>0.974665</v>
      </c>
      <c r="I47">
        <v>43408312</v>
      </c>
      <c r="J47" s="3">
        <v>0.51376599999999994</v>
      </c>
      <c r="K47">
        <v>41082122</v>
      </c>
      <c r="L47" s="3">
        <v>0.486234</v>
      </c>
      <c r="M47">
        <v>0</v>
      </c>
      <c r="N47" s="3">
        <v>0</v>
      </c>
      <c r="O47">
        <v>0</v>
      </c>
      <c r="P47" s="3">
        <v>1</v>
      </c>
      <c r="Q47">
        <v>81937056</v>
      </c>
      <c r="R47" s="3">
        <v>0.96977899999999995</v>
      </c>
      <c r="S47">
        <v>42223872</v>
      </c>
      <c r="T47">
        <v>42266562</v>
      </c>
      <c r="U47">
        <v>412764</v>
      </c>
      <c r="V47" s="3">
        <v>4.8853300000000002E-3</v>
      </c>
      <c r="W47">
        <v>43279.7</v>
      </c>
      <c r="X47">
        <v>187</v>
      </c>
    </row>
    <row r="48" spans="1:24" x14ac:dyDescent="0.3">
      <c r="A48" t="s">
        <v>294</v>
      </c>
      <c r="B48" t="s">
        <v>295</v>
      </c>
      <c r="C48" t="s">
        <v>253</v>
      </c>
      <c r="D48" t="s">
        <v>350</v>
      </c>
      <c r="F48">
        <v>96769136</v>
      </c>
      <c r="G48">
        <v>94236794</v>
      </c>
      <c r="H48" s="3">
        <v>0.973831</v>
      </c>
      <c r="I48">
        <v>49768206</v>
      </c>
      <c r="J48" s="3">
        <v>0.51429800000000003</v>
      </c>
      <c r="K48">
        <v>47000930</v>
      </c>
      <c r="L48" s="3">
        <v>0.48570200000000002</v>
      </c>
      <c r="M48">
        <v>0</v>
      </c>
      <c r="N48" s="3">
        <v>0</v>
      </c>
      <c r="O48">
        <v>0</v>
      </c>
      <c r="P48" s="3">
        <v>1</v>
      </c>
      <c r="Q48">
        <v>93790078</v>
      </c>
      <c r="R48" s="3">
        <v>0.96921500000000005</v>
      </c>
      <c r="S48">
        <v>48373816</v>
      </c>
      <c r="T48">
        <v>48395320</v>
      </c>
      <c r="U48">
        <v>446716</v>
      </c>
      <c r="V48" s="3">
        <v>4.6163100000000002E-3</v>
      </c>
      <c r="W48">
        <v>42351.5</v>
      </c>
      <c r="X48">
        <v>182</v>
      </c>
    </row>
    <row r="49" spans="1:24" x14ac:dyDescent="0.3">
      <c r="A49" t="s">
        <v>294</v>
      </c>
      <c r="B49" t="s">
        <v>295</v>
      </c>
      <c r="C49" t="s">
        <v>253</v>
      </c>
      <c r="D49" t="s">
        <v>349</v>
      </c>
      <c r="F49">
        <v>80306000</v>
      </c>
      <c r="G49">
        <v>78195578</v>
      </c>
      <c r="H49" s="3">
        <v>0.97372000000000003</v>
      </c>
      <c r="I49">
        <v>41262365</v>
      </c>
      <c r="J49" s="3">
        <v>0.51381399999999999</v>
      </c>
      <c r="K49">
        <v>39043635</v>
      </c>
      <c r="L49" s="3">
        <v>0.48618600000000001</v>
      </c>
      <c r="M49">
        <v>0</v>
      </c>
      <c r="N49" s="3">
        <v>0</v>
      </c>
      <c r="O49">
        <v>0</v>
      </c>
      <c r="P49" s="3">
        <v>1</v>
      </c>
      <c r="Q49">
        <v>77821693</v>
      </c>
      <c r="R49" s="3">
        <v>0.96906499999999995</v>
      </c>
      <c r="S49">
        <v>40091119</v>
      </c>
      <c r="T49">
        <v>40214881</v>
      </c>
      <c r="U49">
        <v>373885</v>
      </c>
      <c r="V49" s="3">
        <v>4.6557500000000002E-3</v>
      </c>
      <c r="W49">
        <v>45026.1</v>
      </c>
      <c r="X49">
        <v>177</v>
      </c>
    </row>
    <row r="50" spans="1:24" x14ac:dyDescent="0.3">
      <c r="A50" t="s">
        <v>294</v>
      </c>
      <c r="B50" t="s">
        <v>295</v>
      </c>
      <c r="C50" t="s">
        <v>253</v>
      </c>
      <c r="D50" t="s">
        <v>327</v>
      </c>
      <c r="F50">
        <v>70708280</v>
      </c>
      <c r="G50">
        <v>68819257</v>
      </c>
      <c r="H50" s="3">
        <v>0.97328400000000004</v>
      </c>
      <c r="I50">
        <v>36373972</v>
      </c>
      <c r="J50" s="3">
        <v>0.51442299999999996</v>
      </c>
      <c r="K50">
        <v>34334308</v>
      </c>
      <c r="L50" s="3">
        <v>0.48557699999999998</v>
      </c>
      <c r="M50">
        <v>0</v>
      </c>
      <c r="N50" s="3">
        <v>0</v>
      </c>
      <c r="O50">
        <v>0</v>
      </c>
      <c r="P50" s="3">
        <v>1</v>
      </c>
      <c r="Q50">
        <v>68514131</v>
      </c>
      <c r="R50" s="3">
        <v>0.96896899999999997</v>
      </c>
      <c r="S50">
        <v>35337450</v>
      </c>
      <c r="T50">
        <v>35370830</v>
      </c>
      <c r="U50">
        <v>305126</v>
      </c>
      <c r="V50" s="3">
        <v>4.3152800000000003E-3</v>
      </c>
      <c r="W50">
        <v>39072.400000000001</v>
      </c>
      <c r="X50">
        <v>178</v>
      </c>
    </row>
    <row r="51" spans="1:24" x14ac:dyDescent="0.3">
      <c r="A51" t="s">
        <v>294</v>
      </c>
      <c r="B51" t="s">
        <v>295</v>
      </c>
      <c r="C51" t="s">
        <v>253</v>
      </c>
      <c r="D51" t="s">
        <v>316</v>
      </c>
      <c r="F51">
        <v>98407211</v>
      </c>
      <c r="G51">
        <v>95627604</v>
      </c>
      <c r="H51" s="3">
        <v>0.97175400000000001</v>
      </c>
      <c r="I51">
        <v>50724207</v>
      </c>
      <c r="J51" s="3">
        <v>0.51545200000000002</v>
      </c>
      <c r="K51">
        <v>47683004</v>
      </c>
      <c r="L51" s="3">
        <v>0.48454799999999998</v>
      </c>
      <c r="M51">
        <v>0</v>
      </c>
      <c r="N51" s="3">
        <v>0</v>
      </c>
      <c r="O51">
        <v>0</v>
      </c>
      <c r="P51" s="3">
        <v>1</v>
      </c>
      <c r="Q51">
        <v>95194781</v>
      </c>
      <c r="R51" s="3">
        <v>0.96735599999999999</v>
      </c>
      <c r="S51">
        <v>49123345</v>
      </c>
      <c r="T51">
        <v>49283866</v>
      </c>
      <c r="U51">
        <v>432823</v>
      </c>
      <c r="V51" s="3">
        <v>4.39829E-3</v>
      </c>
      <c r="W51">
        <v>38282.300000000003</v>
      </c>
      <c r="X51">
        <v>179</v>
      </c>
    </row>
    <row r="52" spans="1:24" x14ac:dyDescent="0.3">
      <c r="A52" t="s">
        <v>294</v>
      </c>
      <c r="B52" t="s">
        <v>295</v>
      </c>
      <c r="C52" t="s">
        <v>253</v>
      </c>
      <c r="D52" t="s">
        <v>318</v>
      </c>
      <c r="F52">
        <v>89589912</v>
      </c>
      <c r="G52">
        <v>86808199</v>
      </c>
      <c r="H52" s="3">
        <v>0.96895100000000001</v>
      </c>
      <c r="I52">
        <v>46293613</v>
      </c>
      <c r="J52" s="3">
        <v>0.51672799999999997</v>
      </c>
      <c r="K52">
        <v>43296299</v>
      </c>
      <c r="L52" s="3">
        <v>0.48327199999999998</v>
      </c>
      <c r="M52">
        <v>0</v>
      </c>
      <c r="N52" s="3">
        <v>0</v>
      </c>
      <c r="O52">
        <v>0</v>
      </c>
      <c r="P52" s="3">
        <v>1</v>
      </c>
      <c r="Q52">
        <v>86333410</v>
      </c>
      <c r="R52" s="3">
        <v>0.96365100000000004</v>
      </c>
      <c r="S52">
        <v>44799718</v>
      </c>
      <c r="T52">
        <v>44790194</v>
      </c>
      <c r="U52">
        <v>474789</v>
      </c>
      <c r="V52" s="3">
        <v>5.2995799999999999E-3</v>
      </c>
      <c r="W52">
        <v>44010.7</v>
      </c>
      <c r="X52">
        <v>184</v>
      </c>
    </row>
    <row r="53" spans="1:24" x14ac:dyDescent="0.3">
      <c r="A53" t="s">
        <v>294</v>
      </c>
      <c r="B53" t="s">
        <v>295</v>
      </c>
      <c r="C53" t="s">
        <v>253</v>
      </c>
      <c r="D53" t="s">
        <v>353</v>
      </c>
      <c r="F53">
        <v>72344542</v>
      </c>
      <c r="G53">
        <v>70055357</v>
      </c>
      <c r="H53" s="3">
        <v>0.96835700000000002</v>
      </c>
      <c r="I53">
        <v>37415491</v>
      </c>
      <c r="J53" s="3">
        <v>0.51718500000000001</v>
      </c>
      <c r="K53">
        <v>34929051</v>
      </c>
      <c r="L53" s="3">
        <v>0.48281499999999999</v>
      </c>
      <c r="M53">
        <v>0</v>
      </c>
      <c r="N53" s="3">
        <v>0</v>
      </c>
      <c r="O53">
        <v>0</v>
      </c>
      <c r="P53" s="3">
        <v>1</v>
      </c>
      <c r="Q53">
        <v>69699079</v>
      </c>
      <c r="R53" s="3">
        <v>0.96343199999999996</v>
      </c>
      <c r="S53">
        <v>36159293</v>
      </c>
      <c r="T53">
        <v>36185249</v>
      </c>
      <c r="U53">
        <v>356278</v>
      </c>
      <c r="V53" s="3">
        <v>4.9247400000000004E-3</v>
      </c>
      <c r="W53">
        <v>42417.4</v>
      </c>
      <c r="X53">
        <v>179</v>
      </c>
    </row>
    <row r="54" spans="1:24" x14ac:dyDescent="0.3">
      <c r="A54" t="s">
        <v>294</v>
      </c>
      <c r="B54" t="s">
        <v>295</v>
      </c>
      <c r="C54" t="s">
        <v>253</v>
      </c>
      <c r="D54" t="s">
        <v>321</v>
      </c>
      <c r="F54">
        <v>84248544</v>
      </c>
      <c r="G54">
        <v>81553652</v>
      </c>
      <c r="H54" s="3">
        <v>0.96801300000000001</v>
      </c>
      <c r="I54">
        <v>43555538</v>
      </c>
      <c r="J54" s="3">
        <v>0.51698900000000003</v>
      </c>
      <c r="K54">
        <v>40693006</v>
      </c>
      <c r="L54" s="3">
        <v>0.48301100000000002</v>
      </c>
      <c r="M54">
        <v>0</v>
      </c>
      <c r="N54" s="3">
        <v>0</v>
      </c>
      <c r="O54">
        <v>0</v>
      </c>
      <c r="P54" s="3">
        <v>1</v>
      </c>
      <c r="Q54">
        <v>81131848</v>
      </c>
      <c r="R54" s="3">
        <v>0.96300600000000003</v>
      </c>
      <c r="S54">
        <v>42122925</v>
      </c>
      <c r="T54">
        <v>42125619</v>
      </c>
      <c r="U54">
        <v>421804</v>
      </c>
      <c r="V54" s="3">
        <v>5.0066599999999996E-3</v>
      </c>
      <c r="W54">
        <v>42453.3</v>
      </c>
      <c r="X54">
        <v>179</v>
      </c>
    </row>
    <row r="55" spans="1:24" x14ac:dyDescent="0.3">
      <c r="A55" t="s">
        <v>294</v>
      </c>
      <c r="B55" t="s">
        <v>295</v>
      </c>
      <c r="C55" t="s">
        <v>253</v>
      </c>
      <c r="D55" t="s">
        <v>359</v>
      </c>
      <c r="F55">
        <v>91468302</v>
      </c>
      <c r="G55">
        <v>88514944</v>
      </c>
      <c r="H55" s="3">
        <v>0.96771200000000002</v>
      </c>
      <c r="I55">
        <v>47310475</v>
      </c>
      <c r="J55" s="3">
        <v>0.51723399999999997</v>
      </c>
      <c r="K55">
        <v>44157827</v>
      </c>
      <c r="L55" s="3">
        <v>0.48276599999999997</v>
      </c>
      <c r="M55">
        <v>0</v>
      </c>
      <c r="N55" s="3">
        <v>0</v>
      </c>
      <c r="O55">
        <v>0</v>
      </c>
      <c r="P55" s="3">
        <v>1</v>
      </c>
      <c r="Q55">
        <v>88081542</v>
      </c>
      <c r="R55" s="3">
        <v>0.96297299999999997</v>
      </c>
      <c r="S55">
        <v>45719575</v>
      </c>
      <c r="T55">
        <v>45748727</v>
      </c>
      <c r="U55">
        <v>433402</v>
      </c>
      <c r="V55" s="3">
        <v>4.7382800000000001E-3</v>
      </c>
      <c r="W55">
        <v>41709.199999999997</v>
      </c>
      <c r="X55">
        <v>179</v>
      </c>
    </row>
    <row r="56" spans="1:24" x14ac:dyDescent="0.3">
      <c r="A56" t="s">
        <v>294</v>
      </c>
      <c r="B56" t="s">
        <v>295</v>
      </c>
      <c r="C56" t="s">
        <v>253</v>
      </c>
      <c r="D56" t="s">
        <v>355</v>
      </c>
      <c r="F56">
        <v>94450520</v>
      </c>
      <c r="G56">
        <v>91394113</v>
      </c>
      <c r="H56" s="3">
        <v>0.96763999999999994</v>
      </c>
      <c r="I56">
        <v>48876597</v>
      </c>
      <c r="J56" s="3">
        <v>0.51748400000000006</v>
      </c>
      <c r="K56">
        <v>45573923</v>
      </c>
      <c r="L56" s="3">
        <v>0.482516</v>
      </c>
      <c r="M56">
        <v>0</v>
      </c>
      <c r="N56" s="3">
        <v>0</v>
      </c>
      <c r="O56">
        <v>0</v>
      </c>
      <c r="P56" s="3">
        <v>1</v>
      </c>
      <c r="Q56">
        <v>90907933</v>
      </c>
      <c r="R56" s="3">
        <v>0.96249300000000004</v>
      </c>
      <c r="S56">
        <v>47205745</v>
      </c>
      <c r="T56">
        <v>47244775</v>
      </c>
      <c r="U56">
        <v>486180</v>
      </c>
      <c r="V56" s="3">
        <v>5.1474600000000004E-3</v>
      </c>
      <c r="W56">
        <v>42948.9</v>
      </c>
      <c r="X56">
        <v>184</v>
      </c>
    </row>
    <row r="57" spans="1:24" x14ac:dyDescent="0.3">
      <c r="A57" t="s">
        <v>294</v>
      </c>
      <c r="B57" t="s">
        <v>295</v>
      </c>
      <c r="C57" t="s">
        <v>253</v>
      </c>
      <c r="D57" t="s">
        <v>329</v>
      </c>
      <c r="F57">
        <v>88194651</v>
      </c>
      <c r="G57">
        <v>85323337</v>
      </c>
      <c r="H57" s="3">
        <v>0.96744300000000005</v>
      </c>
      <c r="I57">
        <v>45642829</v>
      </c>
      <c r="J57" s="3">
        <v>0.51752399999999998</v>
      </c>
      <c r="K57">
        <v>42551822</v>
      </c>
      <c r="L57" s="3">
        <v>0.48247600000000002</v>
      </c>
      <c r="M57">
        <v>0</v>
      </c>
      <c r="N57" s="3">
        <v>0</v>
      </c>
      <c r="O57">
        <v>0</v>
      </c>
      <c r="P57" s="3">
        <v>1</v>
      </c>
      <c r="Q57">
        <v>84854166</v>
      </c>
      <c r="R57" s="3">
        <v>0.96212399999999998</v>
      </c>
      <c r="S57">
        <v>44063352</v>
      </c>
      <c r="T57">
        <v>44131299</v>
      </c>
      <c r="U57">
        <v>469171</v>
      </c>
      <c r="V57" s="3">
        <v>5.31972E-3</v>
      </c>
      <c r="W57">
        <v>43661.3</v>
      </c>
      <c r="X57">
        <v>182</v>
      </c>
    </row>
    <row r="58" spans="1:24" x14ac:dyDescent="0.3">
      <c r="A58" t="s">
        <v>294</v>
      </c>
      <c r="B58" t="s">
        <v>295</v>
      </c>
      <c r="C58" t="s">
        <v>253</v>
      </c>
      <c r="D58" t="s">
        <v>347</v>
      </c>
      <c r="F58">
        <v>93258043</v>
      </c>
      <c r="G58">
        <v>90180847</v>
      </c>
      <c r="H58" s="3">
        <v>0.96700299999999995</v>
      </c>
      <c r="I58">
        <v>48202594</v>
      </c>
      <c r="J58" s="3">
        <v>0.51687300000000003</v>
      </c>
      <c r="K58">
        <v>45055449</v>
      </c>
      <c r="L58" s="3">
        <v>0.48312699999999997</v>
      </c>
      <c r="M58">
        <v>0</v>
      </c>
      <c r="N58" s="3">
        <v>0</v>
      </c>
      <c r="O58">
        <v>0</v>
      </c>
      <c r="P58" s="3">
        <v>1</v>
      </c>
      <c r="Q58">
        <v>89719277</v>
      </c>
      <c r="R58" s="3">
        <v>0.96205399999999996</v>
      </c>
      <c r="S58">
        <v>46479169</v>
      </c>
      <c r="T58">
        <v>46778874</v>
      </c>
      <c r="U58">
        <v>461570</v>
      </c>
      <c r="V58" s="3">
        <v>4.9493899999999997E-3</v>
      </c>
      <c r="W58">
        <v>43614.1</v>
      </c>
      <c r="X58">
        <v>184</v>
      </c>
    </row>
    <row r="59" spans="1:24" x14ac:dyDescent="0.3">
      <c r="A59" t="s">
        <v>294</v>
      </c>
      <c r="B59" t="s">
        <v>295</v>
      </c>
      <c r="C59" t="s">
        <v>253</v>
      </c>
      <c r="D59" t="s">
        <v>320</v>
      </c>
      <c r="F59">
        <v>97550145</v>
      </c>
      <c r="G59">
        <v>94301628</v>
      </c>
      <c r="H59" s="3">
        <v>0.96669899999999997</v>
      </c>
      <c r="I59">
        <v>50528253</v>
      </c>
      <c r="J59" s="3">
        <v>0.51797199999999999</v>
      </c>
      <c r="K59">
        <v>47021892</v>
      </c>
      <c r="L59" s="3">
        <v>0.48202800000000001</v>
      </c>
      <c r="M59">
        <v>0</v>
      </c>
      <c r="N59" s="3">
        <v>0</v>
      </c>
      <c r="O59">
        <v>0</v>
      </c>
      <c r="P59" s="3">
        <v>1</v>
      </c>
      <c r="Q59">
        <v>93768842</v>
      </c>
      <c r="R59" s="3">
        <v>0.96123700000000001</v>
      </c>
      <c r="S59">
        <v>48751926</v>
      </c>
      <c r="T59">
        <v>48798219</v>
      </c>
      <c r="U59">
        <v>532786</v>
      </c>
      <c r="V59" s="3">
        <v>5.4616600000000001E-3</v>
      </c>
      <c r="W59">
        <v>41045.699999999997</v>
      </c>
      <c r="X59">
        <v>183</v>
      </c>
    </row>
    <row r="60" spans="1:24" x14ac:dyDescent="0.3">
      <c r="A60" t="s">
        <v>294</v>
      </c>
      <c r="B60" t="s">
        <v>295</v>
      </c>
      <c r="C60" t="s">
        <v>253</v>
      </c>
      <c r="D60" t="s">
        <v>339</v>
      </c>
      <c r="F60">
        <v>81651255</v>
      </c>
      <c r="G60">
        <v>78904149</v>
      </c>
      <c r="H60" s="3">
        <v>0.96635599999999999</v>
      </c>
      <c r="I60">
        <v>42251328</v>
      </c>
      <c r="J60" s="3">
        <v>0.51746099999999995</v>
      </c>
      <c r="K60">
        <v>39399927</v>
      </c>
      <c r="L60" s="3">
        <v>0.482539</v>
      </c>
      <c r="M60">
        <v>0</v>
      </c>
      <c r="N60" s="3">
        <v>0</v>
      </c>
      <c r="O60">
        <v>0</v>
      </c>
      <c r="P60" s="3">
        <v>1</v>
      </c>
      <c r="Q60">
        <v>78451520</v>
      </c>
      <c r="R60" s="3">
        <v>0.960812</v>
      </c>
      <c r="S60">
        <v>40817980</v>
      </c>
      <c r="T60">
        <v>40833275</v>
      </c>
      <c r="U60">
        <v>452629</v>
      </c>
      <c r="V60" s="3">
        <v>5.5434400000000002E-3</v>
      </c>
      <c r="W60">
        <v>45720.2</v>
      </c>
      <c r="X60">
        <v>186</v>
      </c>
    </row>
    <row r="61" spans="1:24" x14ac:dyDescent="0.3">
      <c r="A61" t="s">
        <v>294</v>
      </c>
      <c r="B61" t="s">
        <v>295</v>
      </c>
      <c r="C61" t="s">
        <v>253</v>
      </c>
      <c r="D61" t="s">
        <v>330</v>
      </c>
      <c r="F61">
        <v>77074097</v>
      </c>
      <c r="G61">
        <v>74412328</v>
      </c>
      <c r="H61" s="3">
        <v>0.96546500000000002</v>
      </c>
      <c r="I61">
        <v>39967655</v>
      </c>
      <c r="J61" s="3">
        <v>0.51856100000000005</v>
      </c>
      <c r="K61">
        <v>37106442</v>
      </c>
      <c r="L61" s="3">
        <v>0.48143900000000001</v>
      </c>
      <c r="M61">
        <v>0</v>
      </c>
      <c r="N61" s="3">
        <v>0</v>
      </c>
      <c r="O61">
        <v>0</v>
      </c>
      <c r="P61" s="3">
        <v>1</v>
      </c>
      <c r="Q61">
        <v>74001974</v>
      </c>
      <c r="R61" s="3">
        <v>0.96014100000000002</v>
      </c>
      <c r="S61">
        <v>38521533</v>
      </c>
      <c r="T61">
        <v>38552564</v>
      </c>
      <c r="U61">
        <v>410354</v>
      </c>
      <c r="V61" s="3">
        <v>5.3241499999999997E-3</v>
      </c>
      <c r="W61">
        <v>42845</v>
      </c>
      <c r="X61">
        <v>183</v>
      </c>
    </row>
    <row r="62" spans="1:24" x14ac:dyDescent="0.3">
      <c r="A62" t="s">
        <v>294</v>
      </c>
      <c r="B62" t="s">
        <v>295</v>
      </c>
      <c r="C62" t="s">
        <v>253</v>
      </c>
      <c r="D62" t="s">
        <v>348</v>
      </c>
      <c r="F62">
        <v>86472016</v>
      </c>
      <c r="G62">
        <v>83463408</v>
      </c>
      <c r="H62" s="3">
        <v>0.96520700000000004</v>
      </c>
      <c r="I62">
        <v>44825568</v>
      </c>
      <c r="J62" s="3">
        <v>0.51838200000000001</v>
      </c>
      <c r="K62">
        <v>41646448</v>
      </c>
      <c r="L62" s="3">
        <v>0.48161799999999999</v>
      </c>
      <c r="M62">
        <v>0</v>
      </c>
      <c r="N62" s="3">
        <v>0</v>
      </c>
      <c r="O62">
        <v>0</v>
      </c>
      <c r="P62" s="3">
        <v>1</v>
      </c>
      <c r="Q62">
        <v>82995618</v>
      </c>
      <c r="R62" s="3">
        <v>0.95979700000000001</v>
      </c>
      <c r="S62">
        <v>43220892</v>
      </c>
      <c r="T62">
        <v>43251124</v>
      </c>
      <c r="U62">
        <v>467790</v>
      </c>
      <c r="V62" s="3">
        <v>5.4097299999999997E-3</v>
      </c>
      <c r="W62">
        <v>42638.9</v>
      </c>
      <c r="X62">
        <v>184</v>
      </c>
    </row>
    <row r="63" spans="1:24" x14ac:dyDescent="0.3">
      <c r="A63" t="s">
        <v>294</v>
      </c>
      <c r="B63" t="s">
        <v>295</v>
      </c>
      <c r="C63" t="s">
        <v>253</v>
      </c>
      <c r="D63" t="s">
        <v>325</v>
      </c>
      <c r="F63">
        <v>81888307</v>
      </c>
      <c r="G63">
        <v>78801479</v>
      </c>
      <c r="H63" s="3">
        <v>0.96230400000000005</v>
      </c>
      <c r="I63">
        <v>42603736</v>
      </c>
      <c r="J63" s="3">
        <v>0.52026600000000001</v>
      </c>
      <c r="K63">
        <v>39284571</v>
      </c>
      <c r="L63" s="3">
        <v>0.47973399999999999</v>
      </c>
      <c r="M63">
        <v>0</v>
      </c>
      <c r="N63" s="3">
        <v>0</v>
      </c>
      <c r="O63">
        <v>0</v>
      </c>
      <c r="P63" s="3">
        <v>1</v>
      </c>
      <c r="Q63">
        <v>78315831</v>
      </c>
      <c r="R63" s="3">
        <v>0.95637399999999995</v>
      </c>
      <c r="S63">
        <v>40915295</v>
      </c>
      <c r="T63">
        <v>40973012</v>
      </c>
      <c r="U63">
        <v>485648</v>
      </c>
      <c r="V63" s="3">
        <v>5.9306200000000002E-3</v>
      </c>
      <c r="W63">
        <v>45082</v>
      </c>
      <c r="X63">
        <v>184</v>
      </c>
    </row>
    <row r="64" spans="1:24" x14ac:dyDescent="0.3">
      <c r="A64" t="s">
        <v>294</v>
      </c>
      <c r="B64" t="s">
        <v>295</v>
      </c>
      <c r="C64" t="s">
        <v>253</v>
      </c>
      <c r="D64" t="s">
        <v>338</v>
      </c>
      <c r="F64">
        <v>57920203</v>
      </c>
      <c r="G64">
        <v>55706977</v>
      </c>
      <c r="H64" s="3">
        <v>0.96178799999999998</v>
      </c>
      <c r="I64">
        <v>30130590</v>
      </c>
      <c r="J64" s="3">
        <v>0.52020900000000003</v>
      </c>
      <c r="K64">
        <v>27789613</v>
      </c>
      <c r="L64" s="3">
        <v>0.47979100000000002</v>
      </c>
      <c r="M64">
        <v>0</v>
      </c>
      <c r="N64" s="3">
        <v>0</v>
      </c>
      <c r="O64">
        <v>0</v>
      </c>
      <c r="P64" s="3">
        <v>1</v>
      </c>
      <c r="Q64">
        <v>55390794</v>
      </c>
      <c r="R64" s="3">
        <v>0.95632899999999998</v>
      </c>
      <c r="S64">
        <v>28978812</v>
      </c>
      <c r="T64">
        <v>28941391</v>
      </c>
      <c r="U64">
        <v>316183</v>
      </c>
      <c r="V64" s="3">
        <v>5.4589399999999998E-3</v>
      </c>
      <c r="W64">
        <v>43006.3</v>
      </c>
      <c r="X64">
        <v>182</v>
      </c>
    </row>
    <row r="65" spans="1:24" x14ac:dyDescent="0.3">
      <c r="A65" t="s">
        <v>294</v>
      </c>
      <c r="B65" t="s">
        <v>295</v>
      </c>
      <c r="C65" t="s">
        <v>253</v>
      </c>
      <c r="D65" t="s">
        <v>340</v>
      </c>
      <c r="F65">
        <v>75975679</v>
      </c>
      <c r="G65">
        <v>72953496</v>
      </c>
      <c r="H65" s="3">
        <v>0.96022200000000002</v>
      </c>
      <c r="I65">
        <v>39565012</v>
      </c>
      <c r="J65" s="3">
        <v>0.52075899999999997</v>
      </c>
      <c r="K65">
        <v>36410667</v>
      </c>
      <c r="L65" s="3">
        <v>0.47924099999999997</v>
      </c>
      <c r="M65">
        <v>0</v>
      </c>
      <c r="N65" s="3">
        <v>0</v>
      </c>
      <c r="O65">
        <v>0</v>
      </c>
      <c r="P65" s="3">
        <v>1</v>
      </c>
      <c r="Q65">
        <v>71586154</v>
      </c>
      <c r="R65" s="3">
        <v>0.94222499999999998</v>
      </c>
      <c r="S65">
        <v>37852787</v>
      </c>
      <c r="T65">
        <v>38122892</v>
      </c>
      <c r="U65">
        <v>1367342</v>
      </c>
      <c r="V65" s="3">
        <v>1.7997099999999999E-2</v>
      </c>
      <c r="W65">
        <v>24549.8</v>
      </c>
      <c r="X65">
        <v>29</v>
      </c>
    </row>
    <row r="66" spans="1:24" x14ac:dyDescent="0.3">
      <c r="A66" t="s">
        <v>294</v>
      </c>
      <c r="B66" t="s">
        <v>295</v>
      </c>
      <c r="C66" t="s">
        <v>253</v>
      </c>
      <c r="D66" t="s">
        <v>341</v>
      </c>
      <c r="F66">
        <v>84041988</v>
      </c>
      <c r="G66">
        <v>80603967</v>
      </c>
      <c r="H66" s="3">
        <v>0.95909199999999994</v>
      </c>
      <c r="I66">
        <v>43849531</v>
      </c>
      <c r="J66" s="3">
        <v>0.52175700000000003</v>
      </c>
      <c r="K66">
        <v>40192457</v>
      </c>
      <c r="L66" s="3">
        <v>0.47824299999999997</v>
      </c>
      <c r="M66">
        <v>0</v>
      </c>
      <c r="N66" s="3">
        <v>0</v>
      </c>
      <c r="O66">
        <v>0</v>
      </c>
      <c r="P66" s="3">
        <v>1</v>
      </c>
      <c r="Q66">
        <v>80121019</v>
      </c>
      <c r="R66" s="3">
        <v>0.953345</v>
      </c>
      <c r="S66">
        <v>42024342</v>
      </c>
      <c r="T66">
        <v>42017646</v>
      </c>
      <c r="U66">
        <v>482948</v>
      </c>
      <c r="V66" s="3">
        <v>5.7465099999999998E-3</v>
      </c>
      <c r="W66">
        <v>42615.7</v>
      </c>
      <c r="X66">
        <v>181</v>
      </c>
    </row>
    <row r="67" spans="1:24" x14ac:dyDescent="0.3">
      <c r="A67" t="s">
        <v>294</v>
      </c>
      <c r="B67" t="s">
        <v>295</v>
      </c>
      <c r="C67" t="s">
        <v>253</v>
      </c>
      <c r="D67" t="s">
        <v>354</v>
      </c>
      <c r="F67">
        <v>89323968</v>
      </c>
      <c r="G67">
        <v>85442445</v>
      </c>
      <c r="H67" s="3">
        <v>0.95654600000000001</v>
      </c>
      <c r="I67">
        <v>46727706</v>
      </c>
      <c r="J67" s="3">
        <v>0.52312599999999998</v>
      </c>
      <c r="K67">
        <v>42596262</v>
      </c>
      <c r="L67" s="3">
        <v>0.47687400000000002</v>
      </c>
      <c r="M67">
        <v>0</v>
      </c>
      <c r="N67" s="3">
        <v>0</v>
      </c>
      <c r="O67">
        <v>0</v>
      </c>
      <c r="P67" s="3">
        <v>1</v>
      </c>
      <c r="Q67">
        <v>84887617</v>
      </c>
      <c r="R67" s="3">
        <v>0.95033400000000001</v>
      </c>
      <c r="S67">
        <v>44669571</v>
      </c>
      <c r="T67">
        <v>44654397</v>
      </c>
      <c r="U67">
        <v>554828</v>
      </c>
      <c r="V67" s="3">
        <v>6.2114099999999997E-3</v>
      </c>
      <c r="W67">
        <v>43057.8</v>
      </c>
      <c r="X67">
        <v>185</v>
      </c>
    </row>
    <row r="68" spans="1:24" x14ac:dyDescent="0.3">
      <c r="A68" t="s">
        <v>294</v>
      </c>
      <c r="B68" t="s">
        <v>295</v>
      </c>
      <c r="C68" t="s">
        <v>253</v>
      </c>
      <c r="D68" t="s">
        <v>343</v>
      </c>
      <c r="F68">
        <v>83451061</v>
      </c>
      <c r="G68">
        <v>79725375</v>
      </c>
      <c r="H68" s="3">
        <v>0.95535499999999995</v>
      </c>
      <c r="I68">
        <v>43696422</v>
      </c>
      <c r="J68" s="3">
        <v>0.523617</v>
      </c>
      <c r="K68">
        <v>39754639</v>
      </c>
      <c r="L68" s="3">
        <v>0.476383</v>
      </c>
      <c r="M68">
        <v>0</v>
      </c>
      <c r="N68" s="3">
        <v>0</v>
      </c>
      <c r="O68">
        <v>0</v>
      </c>
      <c r="P68" s="3">
        <v>1</v>
      </c>
      <c r="Q68">
        <v>79228421</v>
      </c>
      <c r="R68" s="3">
        <v>0.94940000000000002</v>
      </c>
      <c r="S68">
        <v>41724551</v>
      </c>
      <c r="T68">
        <v>41726510</v>
      </c>
      <c r="U68">
        <v>496954</v>
      </c>
      <c r="V68" s="3">
        <v>5.95504E-3</v>
      </c>
      <c r="W68">
        <v>40722.300000000003</v>
      </c>
      <c r="X68">
        <v>181</v>
      </c>
    </row>
    <row r="69" spans="1:24" x14ac:dyDescent="0.3">
      <c r="A69" t="s">
        <v>294</v>
      </c>
      <c r="B69" t="s">
        <v>295</v>
      </c>
      <c r="C69" t="s">
        <v>253</v>
      </c>
      <c r="D69" t="s">
        <v>360</v>
      </c>
      <c r="F69">
        <v>82167026</v>
      </c>
      <c r="G69">
        <v>78367889</v>
      </c>
      <c r="H69" s="3">
        <v>0.95376300000000003</v>
      </c>
      <c r="I69">
        <v>43081646</v>
      </c>
      <c r="J69" s="3">
        <v>0.52431799999999995</v>
      </c>
      <c r="K69">
        <v>39085380</v>
      </c>
      <c r="L69" s="3">
        <v>0.47568199999999999</v>
      </c>
      <c r="M69">
        <v>0</v>
      </c>
      <c r="N69" s="3">
        <v>0</v>
      </c>
      <c r="O69">
        <v>0</v>
      </c>
      <c r="P69" s="3">
        <v>1</v>
      </c>
      <c r="Q69">
        <v>77863965</v>
      </c>
      <c r="R69" s="3">
        <v>0.94762999999999997</v>
      </c>
      <c r="S69">
        <v>41062673</v>
      </c>
      <c r="T69">
        <v>41104353</v>
      </c>
      <c r="U69">
        <v>503924</v>
      </c>
      <c r="V69" s="3">
        <v>6.13292E-3</v>
      </c>
      <c r="W69">
        <v>41698.1</v>
      </c>
      <c r="X69">
        <v>181</v>
      </c>
    </row>
    <row r="70" spans="1:24" x14ac:dyDescent="0.3">
      <c r="A70" t="s">
        <v>294</v>
      </c>
      <c r="B70" t="s">
        <v>295</v>
      </c>
      <c r="C70" t="s">
        <v>253</v>
      </c>
      <c r="D70" t="s">
        <v>315</v>
      </c>
      <c r="F70">
        <v>89768493</v>
      </c>
      <c r="G70">
        <v>85522671</v>
      </c>
      <c r="H70" s="3">
        <v>0.95270200000000005</v>
      </c>
      <c r="I70">
        <v>47130743</v>
      </c>
      <c r="J70" s="3">
        <v>0.52502499999999996</v>
      </c>
      <c r="K70">
        <v>42637750</v>
      </c>
      <c r="L70" s="3">
        <v>0.47497499999999998</v>
      </c>
      <c r="M70">
        <v>0</v>
      </c>
      <c r="N70" s="3">
        <v>0</v>
      </c>
      <c r="O70">
        <v>0</v>
      </c>
      <c r="P70" s="3">
        <v>1</v>
      </c>
      <c r="Q70">
        <v>84947481</v>
      </c>
      <c r="R70" s="3">
        <v>0.946295</v>
      </c>
      <c r="S70">
        <v>44864572</v>
      </c>
      <c r="T70">
        <v>44903921</v>
      </c>
      <c r="U70">
        <v>575190</v>
      </c>
      <c r="V70" s="3">
        <v>6.4074800000000001E-3</v>
      </c>
      <c r="W70">
        <v>42207.9</v>
      </c>
      <c r="X70">
        <v>181</v>
      </c>
    </row>
    <row r="71" spans="1:24" x14ac:dyDescent="0.3">
      <c r="A71" t="s">
        <v>294</v>
      </c>
      <c r="B71" t="s">
        <v>295</v>
      </c>
      <c r="C71" t="s">
        <v>253</v>
      </c>
      <c r="D71" t="s">
        <v>326</v>
      </c>
      <c r="F71">
        <v>81629461</v>
      </c>
      <c r="G71">
        <v>77310587</v>
      </c>
      <c r="H71" s="3">
        <v>0.94709200000000004</v>
      </c>
      <c r="I71">
        <v>43031991</v>
      </c>
      <c r="J71" s="3">
        <v>0.52716200000000002</v>
      </c>
      <c r="K71">
        <v>38597470</v>
      </c>
      <c r="L71" s="3">
        <v>0.47283799999999998</v>
      </c>
      <c r="M71">
        <v>0</v>
      </c>
      <c r="N71" s="3">
        <v>0</v>
      </c>
      <c r="O71">
        <v>0</v>
      </c>
      <c r="P71" s="3">
        <v>1</v>
      </c>
      <c r="Q71">
        <v>76743925</v>
      </c>
      <c r="R71" s="3">
        <v>0.94015000000000004</v>
      </c>
      <c r="S71">
        <v>40797791</v>
      </c>
      <c r="T71">
        <v>40831670</v>
      </c>
      <c r="U71">
        <v>566662</v>
      </c>
      <c r="V71" s="3">
        <v>6.9418800000000001E-3</v>
      </c>
      <c r="W71">
        <v>42992.3</v>
      </c>
      <c r="X71">
        <v>181</v>
      </c>
    </row>
    <row r="72" spans="1:24" x14ac:dyDescent="0.3">
      <c r="A72" t="s">
        <v>294</v>
      </c>
      <c r="B72" t="s">
        <v>295</v>
      </c>
      <c r="C72" t="s">
        <v>253</v>
      </c>
      <c r="D72" t="s">
        <v>336</v>
      </c>
      <c r="F72">
        <v>80962642</v>
      </c>
      <c r="G72">
        <v>76460844</v>
      </c>
      <c r="H72" s="3">
        <v>0.94439700000000004</v>
      </c>
      <c r="I72">
        <v>42840994</v>
      </c>
      <c r="J72" s="3">
        <v>0.52914499999999998</v>
      </c>
      <c r="K72">
        <v>38121648</v>
      </c>
      <c r="L72" s="3">
        <v>0.47085500000000002</v>
      </c>
      <c r="M72">
        <v>0</v>
      </c>
      <c r="N72" s="3">
        <v>0</v>
      </c>
      <c r="O72">
        <v>0</v>
      </c>
      <c r="P72" s="3">
        <v>1</v>
      </c>
      <c r="Q72">
        <v>75885119</v>
      </c>
      <c r="R72" s="3">
        <v>0.93728599999999995</v>
      </c>
      <c r="S72">
        <v>40485000</v>
      </c>
      <c r="T72">
        <v>40477642</v>
      </c>
      <c r="U72">
        <v>575725</v>
      </c>
      <c r="V72" s="3">
        <v>7.1110000000000001E-3</v>
      </c>
      <c r="W72">
        <v>43298.6</v>
      </c>
      <c r="X72">
        <v>182</v>
      </c>
    </row>
    <row r="73" spans="1:24" x14ac:dyDescent="0.3">
      <c r="A73" t="s">
        <v>294</v>
      </c>
      <c r="B73" t="s">
        <v>295</v>
      </c>
      <c r="C73" t="s">
        <v>253</v>
      </c>
      <c r="D73" t="s">
        <v>342</v>
      </c>
      <c r="F73">
        <v>82480283</v>
      </c>
      <c r="G73">
        <v>76540497</v>
      </c>
      <c r="H73" s="3">
        <v>0.92798499999999995</v>
      </c>
      <c r="I73">
        <v>44272698</v>
      </c>
      <c r="J73" s="3">
        <v>0.53676699999999999</v>
      </c>
      <c r="K73">
        <v>38207585</v>
      </c>
      <c r="L73" s="3">
        <v>0.46323300000000001</v>
      </c>
      <c r="M73">
        <v>0</v>
      </c>
      <c r="N73" s="3">
        <v>0</v>
      </c>
      <c r="O73">
        <v>0</v>
      </c>
      <c r="P73" s="3">
        <v>1</v>
      </c>
      <c r="Q73">
        <v>75822439</v>
      </c>
      <c r="R73" s="3">
        <v>0.91927999999999999</v>
      </c>
      <c r="S73">
        <v>41198223</v>
      </c>
      <c r="T73">
        <v>41282060</v>
      </c>
      <c r="U73">
        <v>718058</v>
      </c>
      <c r="V73" s="3">
        <v>8.7058099999999996E-3</v>
      </c>
      <c r="W73">
        <v>44385.3</v>
      </c>
      <c r="X73">
        <v>180</v>
      </c>
    </row>
    <row r="74" spans="1:24" x14ac:dyDescent="0.3">
      <c r="A74" t="s">
        <v>294</v>
      </c>
      <c r="B74" t="s">
        <v>295</v>
      </c>
      <c r="C74" t="s">
        <v>253</v>
      </c>
      <c r="D74" t="s">
        <v>328</v>
      </c>
      <c r="F74">
        <v>71220419</v>
      </c>
      <c r="G74">
        <v>62957698</v>
      </c>
      <c r="H74" s="3">
        <v>0.88398399999999999</v>
      </c>
      <c r="I74">
        <v>39753558</v>
      </c>
      <c r="J74" s="3">
        <v>0.55817600000000001</v>
      </c>
      <c r="K74">
        <v>31466861</v>
      </c>
      <c r="L74" s="3">
        <v>0.44182399999999999</v>
      </c>
      <c r="M74">
        <v>0</v>
      </c>
      <c r="N74" s="3">
        <v>0</v>
      </c>
      <c r="O74">
        <v>0</v>
      </c>
      <c r="P74" s="3">
        <v>1</v>
      </c>
      <c r="Q74">
        <v>62072648</v>
      </c>
      <c r="R74" s="3">
        <v>0.87155700000000003</v>
      </c>
      <c r="S74">
        <v>35559905</v>
      </c>
      <c r="T74">
        <v>35660514</v>
      </c>
      <c r="U74">
        <v>885050</v>
      </c>
      <c r="V74" s="3">
        <v>1.2426899999999999E-2</v>
      </c>
      <c r="W74">
        <v>47953</v>
      </c>
      <c r="X74">
        <v>180</v>
      </c>
    </row>
    <row r="75" spans="1:24" x14ac:dyDescent="0.3">
      <c r="A75" t="s">
        <v>294</v>
      </c>
      <c r="B75" t="s">
        <v>295</v>
      </c>
      <c r="C75" t="s">
        <v>253</v>
      </c>
      <c r="D75" t="s">
        <v>317</v>
      </c>
    </row>
    <row r="76" spans="1:24" x14ac:dyDescent="0.3">
      <c r="A76" t="s">
        <v>294</v>
      </c>
      <c r="B76" t="s">
        <v>295</v>
      </c>
      <c r="C76" t="s">
        <v>253</v>
      </c>
      <c r="D76" t="s">
        <v>319</v>
      </c>
      <c r="F76">
        <v>90573077</v>
      </c>
      <c r="G76">
        <v>87708271</v>
      </c>
      <c r="H76" s="3">
        <v>0.96836999999999995</v>
      </c>
      <c r="I76">
        <v>46840984</v>
      </c>
      <c r="J76" s="3">
        <v>0.51716200000000001</v>
      </c>
      <c r="K76">
        <v>43732093</v>
      </c>
      <c r="L76" s="3">
        <v>0.48283799999999999</v>
      </c>
      <c r="Q76">
        <v>87239654</v>
      </c>
      <c r="R76" s="3">
        <v>0.96319600000000005</v>
      </c>
      <c r="S76">
        <v>45286678</v>
      </c>
      <c r="T76">
        <v>45286399</v>
      </c>
      <c r="U76">
        <v>468617</v>
      </c>
      <c r="V76" s="3">
        <v>5.1739100000000003E-3</v>
      </c>
      <c r="W76">
        <v>44449.4</v>
      </c>
      <c r="X76">
        <v>181</v>
      </c>
    </row>
    <row r="77" spans="1:24" x14ac:dyDescent="0.3">
      <c r="A77" t="s">
        <v>294</v>
      </c>
      <c r="B77" t="s">
        <v>295</v>
      </c>
      <c r="C77" t="s">
        <v>253</v>
      </c>
      <c r="D77" t="s">
        <v>322</v>
      </c>
    </row>
    <row r="78" spans="1:24" x14ac:dyDescent="0.3">
      <c r="A78" t="s">
        <v>294</v>
      </c>
      <c r="B78" t="s">
        <v>295</v>
      </c>
      <c r="C78" t="s">
        <v>253</v>
      </c>
      <c r="D78" t="s">
        <v>323</v>
      </c>
      <c r="F78">
        <v>88482526</v>
      </c>
      <c r="G78">
        <v>85877360</v>
      </c>
      <c r="H78" s="3">
        <v>0.970557</v>
      </c>
      <c r="I78">
        <v>45649218</v>
      </c>
      <c r="J78" s="3">
        <v>0.51591200000000004</v>
      </c>
      <c r="K78">
        <v>42833308</v>
      </c>
      <c r="L78" s="3">
        <v>0.48408800000000002</v>
      </c>
      <c r="Q78">
        <v>85416372</v>
      </c>
      <c r="R78" s="3">
        <v>0.96534699999999996</v>
      </c>
      <c r="S78">
        <v>44249445</v>
      </c>
      <c r="T78">
        <v>44233081</v>
      </c>
      <c r="U78">
        <v>460988</v>
      </c>
      <c r="V78" s="3">
        <v>5.2099299999999998E-3</v>
      </c>
      <c r="W78">
        <v>44188.1</v>
      </c>
      <c r="X78">
        <v>185</v>
      </c>
    </row>
    <row r="79" spans="1:24" x14ac:dyDescent="0.3">
      <c r="A79" t="s">
        <v>294</v>
      </c>
      <c r="B79" t="s">
        <v>295</v>
      </c>
      <c r="C79" t="s">
        <v>253</v>
      </c>
      <c r="D79" t="s">
        <v>324</v>
      </c>
    </row>
    <row r="80" spans="1:24" x14ac:dyDescent="0.3">
      <c r="A80" t="s">
        <v>294</v>
      </c>
      <c r="B80" t="s">
        <v>295</v>
      </c>
      <c r="C80" t="s">
        <v>253</v>
      </c>
      <c r="D80" t="s">
        <v>332</v>
      </c>
      <c r="F80">
        <v>85042361</v>
      </c>
      <c r="G80">
        <v>81940201</v>
      </c>
      <c r="H80" s="3">
        <v>0.96352199999999999</v>
      </c>
      <c r="I80">
        <v>44189787</v>
      </c>
      <c r="J80" s="3">
        <v>0.519621</v>
      </c>
      <c r="K80">
        <v>40852574</v>
      </c>
      <c r="L80" s="3">
        <v>0.480379</v>
      </c>
      <c r="Q80">
        <v>81447832</v>
      </c>
      <c r="R80" s="3">
        <v>0.95773200000000003</v>
      </c>
      <c r="S80">
        <v>42524392</v>
      </c>
      <c r="T80">
        <v>42517969</v>
      </c>
      <c r="U80">
        <v>492369</v>
      </c>
      <c r="V80" s="3">
        <v>5.7896900000000001E-3</v>
      </c>
      <c r="W80">
        <v>43735.8</v>
      </c>
      <c r="X80">
        <v>186</v>
      </c>
    </row>
    <row r="81" spans="1:24" x14ac:dyDescent="0.3">
      <c r="A81" t="s">
        <v>294</v>
      </c>
      <c r="B81" t="s">
        <v>295</v>
      </c>
      <c r="C81" t="s">
        <v>253</v>
      </c>
      <c r="D81" t="s">
        <v>333</v>
      </c>
      <c r="F81">
        <v>99719190</v>
      </c>
      <c r="G81">
        <v>95829676</v>
      </c>
      <c r="H81" s="3">
        <v>0.96099500000000004</v>
      </c>
      <c r="I81">
        <v>51911984</v>
      </c>
      <c r="J81" s="3">
        <v>0.52058199999999999</v>
      </c>
      <c r="K81">
        <v>47807206</v>
      </c>
      <c r="L81" s="3">
        <v>0.47941800000000001</v>
      </c>
      <c r="Q81">
        <v>95290428</v>
      </c>
      <c r="R81" s="3">
        <v>0.95558799999999999</v>
      </c>
      <c r="S81">
        <v>49844372</v>
      </c>
      <c r="T81">
        <v>49874818</v>
      </c>
      <c r="U81">
        <v>539248</v>
      </c>
      <c r="V81" s="3">
        <v>5.4076599999999999E-3</v>
      </c>
      <c r="W81">
        <v>38359.599999999999</v>
      </c>
      <c r="X81">
        <v>181</v>
      </c>
    </row>
    <row r="82" spans="1:24" x14ac:dyDescent="0.3">
      <c r="A82" t="s">
        <v>294</v>
      </c>
      <c r="B82" t="s">
        <v>295</v>
      </c>
      <c r="C82" t="s">
        <v>253</v>
      </c>
      <c r="D82" t="s">
        <v>334</v>
      </c>
      <c r="F82">
        <v>81181089</v>
      </c>
      <c r="G82">
        <v>78735944</v>
      </c>
      <c r="H82" s="3">
        <v>0.96987999999999996</v>
      </c>
      <c r="I82">
        <v>41908453</v>
      </c>
      <c r="J82" s="3">
        <v>0.51623399999999997</v>
      </c>
      <c r="K82">
        <v>39272636</v>
      </c>
      <c r="L82" s="3">
        <v>0.48376599999999997</v>
      </c>
      <c r="Q82">
        <v>78311660</v>
      </c>
      <c r="R82" s="3">
        <v>0.96465400000000001</v>
      </c>
      <c r="S82">
        <v>40590877</v>
      </c>
      <c r="T82">
        <v>40590212</v>
      </c>
      <c r="U82">
        <v>424284</v>
      </c>
      <c r="V82" s="3">
        <v>5.22639E-3</v>
      </c>
      <c r="W82">
        <v>44441.2</v>
      </c>
      <c r="X82">
        <v>185</v>
      </c>
    </row>
    <row r="83" spans="1:24" x14ac:dyDescent="0.3">
      <c r="A83" t="s">
        <v>294</v>
      </c>
      <c r="B83" t="s">
        <v>295</v>
      </c>
      <c r="C83" t="s">
        <v>253</v>
      </c>
      <c r="D83" t="s">
        <v>344</v>
      </c>
      <c r="F83">
        <v>84790204</v>
      </c>
      <c r="G83">
        <v>81785176</v>
      </c>
      <c r="H83" s="3">
        <v>0.96455900000000006</v>
      </c>
      <c r="I83">
        <v>44038033</v>
      </c>
      <c r="J83" s="3">
        <v>0.51937599999999995</v>
      </c>
      <c r="K83">
        <v>40752171</v>
      </c>
      <c r="L83" s="3">
        <v>0.480624</v>
      </c>
      <c r="Q83">
        <v>81305272</v>
      </c>
      <c r="R83" s="3">
        <v>0.95889899999999995</v>
      </c>
      <c r="S83">
        <v>42385842</v>
      </c>
      <c r="T83">
        <v>42404362</v>
      </c>
      <c r="U83">
        <v>479904</v>
      </c>
      <c r="V83" s="3">
        <v>5.6598999999999998E-3</v>
      </c>
      <c r="W83">
        <v>45997</v>
      </c>
      <c r="X83">
        <v>183</v>
      </c>
    </row>
    <row r="84" spans="1:24" x14ac:dyDescent="0.3">
      <c r="A84" t="s">
        <v>294</v>
      </c>
      <c r="B84" t="s">
        <v>295</v>
      </c>
      <c r="C84" t="s">
        <v>253</v>
      </c>
      <c r="D84" t="s">
        <v>345</v>
      </c>
      <c r="F84">
        <v>106521449</v>
      </c>
      <c r="G84">
        <v>103554611</v>
      </c>
      <c r="H84" s="3">
        <v>0.97214800000000001</v>
      </c>
      <c r="I84">
        <v>54900083</v>
      </c>
      <c r="J84" s="3">
        <v>0.51539000000000001</v>
      </c>
      <c r="K84">
        <v>51621366</v>
      </c>
      <c r="L84" s="3">
        <v>0.48460999999999999</v>
      </c>
      <c r="Q84">
        <v>103038701</v>
      </c>
      <c r="R84" s="3">
        <v>0.96730499999999997</v>
      </c>
      <c r="S84">
        <v>53247716</v>
      </c>
      <c r="T84">
        <v>53273733</v>
      </c>
      <c r="U84">
        <v>515910</v>
      </c>
      <c r="V84" s="3">
        <v>4.8432500000000003E-3</v>
      </c>
      <c r="W84">
        <v>41647.800000000003</v>
      </c>
      <c r="X84">
        <v>181</v>
      </c>
    </row>
    <row r="85" spans="1:24" x14ac:dyDescent="0.3">
      <c r="A85" t="s">
        <v>294</v>
      </c>
      <c r="B85" t="s">
        <v>295</v>
      </c>
      <c r="C85" t="s">
        <v>253</v>
      </c>
      <c r="D85" t="s">
        <v>346</v>
      </c>
      <c r="F85">
        <v>101806810</v>
      </c>
      <c r="G85">
        <v>97680646</v>
      </c>
      <c r="H85" s="3">
        <v>0.95947099999999996</v>
      </c>
      <c r="I85">
        <v>53094027</v>
      </c>
      <c r="J85" s="3">
        <v>0.52151700000000001</v>
      </c>
      <c r="K85">
        <v>48712783</v>
      </c>
      <c r="L85" s="3">
        <v>0.47848299999999999</v>
      </c>
      <c r="Q85">
        <v>97119152</v>
      </c>
      <c r="R85" s="3">
        <v>0.953955</v>
      </c>
      <c r="S85">
        <v>50883075</v>
      </c>
      <c r="T85">
        <v>50923735</v>
      </c>
      <c r="U85">
        <v>561494</v>
      </c>
      <c r="V85" s="3">
        <v>5.5152899999999999E-3</v>
      </c>
      <c r="W85">
        <v>41559.5</v>
      </c>
      <c r="X85">
        <v>177</v>
      </c>
    </row>
    <row r="86" spans="1:24" x14ac:dyDescent="0.3">
      <c r="A86" t="s">
        <v>294</v>
      </c>
      <c r="B86" t="s">
        <v>295</v>
      </c>
      <c r="C86" t="s">
        <v>253</v>
      </c>
      <c r="D86" t="s">
        <v>356</v>
      </c>
      <c r="F86">
        <v>77248706</v>
      </c>
      <c r="G86">
        <v>73373175</v>
      </c>
      <c r="H86" s="3">
        <v>0.94983099999999998</v>
      </c>
      <c r="I86">
        <v>40613589</v>
      </c>
      <c r="J86" s="3">
        <v>0.52575099999999997</v>
      </c>
      <c r="K86">
        <v>36635117</v>
      </c>
      <c r="L86" s="3">
        <v>0.47424899999999998</v>
      </c>
      <c r="Q86">
        <v>72865171</v>
      </c>
      <c r="R86" s="3">
        <v>0.94325400000000004</v>
      </c>
      <c r="S86">
        <v>38631168</v>
      </c>
      <c r="T86">
        <v>38617538</v>
      </c>
      <c r="U86">
        <v>508004</v>
      </c>
      <c r="V86" s="3">
        <v>6.5762099999999999E-3</v>
      </c>
      <c r="W86">
        <v>44060.800000000003</v>
      </c>
      <c r="X86">
        <v>185</v>
      </c>
    </row>
    <row r="87" spans="1:24" x14ac:dyDescent="0.3">
      <c r="A87" t="s">
        <v>294</v>
      </c>
      <c r="B87" t="s">
        <v>295</v>
      </c>
      <c r="C87" t="s">
        <v>253</v>
      </c>
      <c r="D87" t="s">
        <v>357</v>
      </c>
      <c r="F87">
        <v>79457404</v>
      </c>
      <c r="G87">
        <v>77085811</v>
      </c>
      <c r="H87" s="3">
        <v>0.97015300000000004</v>
      </c>
      <c r="I87">
        <v>41041023</v>
      </c>
      <c r="J87" s="3">
        <v>0.51651599999999998</v>
      </c>
      <c r="K87">
        <v>38416381</v>
      </c>
      <c r="L87" s="3">
        <v>0.48348400000000002</v>
      </c>
      <c r="Q87">
        <v>76673161</v>
      </c>
      <c r="R87" s="3">
        <v>0.96495900000000001</v>
      </c>
      <c r="S87">
        <v>39715583</v>
      </c>
      <c r="T87">
        <v>39741821</v>
      </c>
      <c r="U87">
        <v>412650</v>
      </c>
      <c r="V87" s="3">
        <v>5.1933500000000002E-3</v>
      </c>
      <c r="W87">
        <v>43759</v>
      </c>
      <c r="X87">
        <v>183</v>
      </c>
    </row>
    <row r="88" spans="1:24" x14ac:dyDescent="0.3">
      <c r="A88" t="s">
        <v>294</v>
      </c>
      <c r="B88" t="s">
        <v>295</v>
      </c>
      <c r="C88" t="s">
        <v>253</v>
      </c>
      <c r="D88" t="s">
        <v>358</v>
      </c>
    </row>
    <row r="89" spans="1:24" x14ac:dyDescent="0.3">
      <c r="A89" t="s">
        <v>294</v>
      </c>
      <c r="B89" t="s">
        <v>295</v>
      </c>
      <c r="C89" t="s">
        <v>253</v>
      </c>
      <c r="D89" t="s">
        <v>361</v>
      </c>
    </row>
    <row r="90" spans="1:24" x14ac:dyDescent="0.3">
      <c r="A90" t="s">
        <v>294</v>
      </c>
      <c r="B90" t="s">
        <v>295</v>
      </c>
      <c r="C90" t="s">
        <v>142</v>
      </c>
      <c r="D90" t="s">
        <v>327</v>
      </c>
      <c r="F90">
        <v>33195830</v>
      </c>
      <c r="G90">
        <v>7391867</v>
      </c>
      <c r="H90" s="3">
        <v>0.223</v>
      </c>
    </row>
    <row r="91" spans="1:24" x14ac:dyDescent="0.3">
      <c r="A91" t="s">
        <v>294</v>
      </c>
      <c r="B91" t="s">
        <v>295</v>
      </c>
      <c r="C91" t="s">
        <v>142</v>
      </c>
      <c r="D91" t="s">
        <v>333</v>
      </c>
      <c r="F91">
        <v>46882529</v>
      </c>
      <c r="G91">
        <v>10471840</v>
      </c>
      <c r="H91" s="3">
        <v>0.223</v>
      </c>
    </row>
    <row r="92" spans="1:24" x14ac:dyDescent="0.3">
      <c r="A92" t="s">
        <v>294</v>
      </c>
      <c r="B92" t="s">
        <v>295</v>
      </c>
      <c r="C92" t="s">
        <v>142</v>
      </c>
      <c r="D92" t="s">
        <v>351</v>
      </c>
      <c r="F92">
        <v>41773270</v>
      </c>
      <c r="G92">
        <v>9298860</v>
      </c>
      <c r="H92" s="3">
        <v>0.223</v>
      </c>
    </row>
    <row r="93" spans="1:24" x14ac:dyDescent="0.3">
      <c r="A93" t="s">
        <v>294</v>
      </c>
      <c r="B93" t="s">
        <v>295</v>
      </c>
      <c r="C93" t="s">
        <v>142</v>
      </c>
      <c r="D93" t="s">
        <v>349</v>
      </c>
      <c r="F93">
        <v>37832006</v>
      </c>
      <c r="G93">
        <v>8250885</v>
      </c>
      <c r="H93" s="3">
        <v>0.218</v>
      </c>
    </row>
    <row r="94" spans="1:24" x14ac:dyDescent="0.3">
      <c r="A94" t="s">
        <v>294</v>
      </c>
      <c r="B94" t="s">
        <v>295</v>
      </c>
      <c r="C94" t="s">
        <v>142</v>
      </c>
      <c r="D94" t="s">
        <v>350</v>
      </c>
      <c r="F94">
        <v>45319408</v>
      </c>
      <c r="G94">
        <v>9782619</v>
      </c>
      <c r="H94" s="3">
        <v>0.216</v>
      </c>
    </row>
    <row r="95" spans="1:24" x14ac:dyDescent="0.3">
      <c r="A95" t="s">
        <v>294</v>
      </c>
      <c r="B95" t="s">
        <v>295</v>
      </c>
      <c r="C95" t="s">
        <v>142</v>
      </c>
      <c r="D95" t="s">
        <v>331</v>
      </c>
      <c r="F95">
        <v>34022208</v>
      </c>
      <c r="G95">
        <v>7308925</v>
      </c>
      <c r="H95" s="3">
        <v>0.215</v>
      </c>
    </row>
    <row r="96" spans="1:24" x14ac:dyDescent="0.3">
      <c r="A96" t="s">
        <v>294</v>
      </c>
      <c r="B96" t="s">
        <v>295</v>
      </c>
      <c r="C96" t="s">
        <v>142</v>
      </c>
      <c r="D96" t="s">
        <v>345</v>
      </c>
      <c r="F96">
        <v>49923461</v>
      </c>
      <c r="G96">
        <v>10741302</v>
      </c>
      <c r="H96" s="3">
        <v>0.215</v>
      </c>
    </row>
    <row r="97" spans="1:8" x14ac:dyDescent="0.3">
      <c r="A97" t="s">
        <v>294</v>
      </c>
      <c r="B97" t="s">
        <v>295</v>
      </c>
      <c r="C97" t="s">
        <v>142</v>
      </c>
      <c r="D97" t="s">
        <v>317</v>
      </c>
      <c r="F97">
        <v>40366927</v>
      </c>
      <c r="G97">
        <v>8641066</v>
      </c>
      <c r="H97" s="3">
        <v>0.214</v>
      </c>
    </row>
    <row r="98" spans="1:8" x14ac:dyDescent="0.3">
      <c r="A98" t="s">
        <v>294</v>
      </c>
      <c r="B98" t="s">
        <v>295</v>
      </c>
      <c r="C98" t="s">
        <v>142</v>
      </c>
      <c r="D98" t="s">
        <v>348</v>
      </c>
      <c r="F98">
        <v>40589777</v>
      </c>
      <c r="G98">
        <v>8675657</v>
      </c>
      <c r="H98" s="3">
        <v>0.214</v>
      </c>
    </row>
    <row r="99" spans="1:8" x14ac:dyDescent="0.3">
      <c r="A99" t="s">
        <v>294</v>
      </c>
      <c r="B99" t="s">
        <v>295</v>
      </c>
      <c r="C99" t="s">
        <v>142</v>
      </c>
      <c r="D99" t="s">
        <v>321</v>
      </c>
      <c r="F99">
        <v>39402070</v>
      </c>
      <c r="G99">
        <v>8376372</v>
      </c>
      <c r="H99" s="3">
        <v>0.21299999999999999</v>
      </c>
    </row>
    <row r="100" spans="1:8" x14ac:dyDescent="0.3">
      <c r="A100" t="s">
        <v>294</v>
      </c>
      <c r="B100" t="s">
        <v>295</v>
      </c>
      <c r="C100" t="s">
        <v>142</v>
      </c>
      <c r="D100" t="s">
        <v>316</v>
      </c>
      <c r="F100">
        <v>46165270</v>
      </c>
      <c r="G100">
        <v>9798111</v>
      </c>
      <c r="H100" s="3">
        <v>0.21199999999999999</v>
      </c>
    </row>
    <row r="101" spans="1:8" x14ac:dyDescent="0.3">
      <c r="A101" t="s">
        <v>294</v>
      </c>
      <c r="B101" t="s">
        <v>295</v>
      </c>
      <c r="C101" t="s">
        <v>142</v>
      </c>
      <c r="D101" t="s">
        <v>318</v>
      </c>
      <c r="F101">
        <v>42118868</v>
      </c>
      <c r="G101">
        <v>8930711</v>
      </c>
      <c r="H101" s="3">
        <v>0.21199999999999999</v>
      </c>
    </row>
    <row r="102" spans="1:8" x14ac:dyDescent="0.3">
      <c r="A102" t="s">
        <v>294</v>
      </c>
      <c r="B102" t="s">
        <v>295</v>
      </c>
      <c r="C102" t="s">
        <v>142</v>
      </c>
      <c r="D102" t="s">
        <v>324</v>
      </c>
      <c r="F102">
        <v>38697077</v>
      </c>
      <c r="G102">
        <v>8216434</v>
      </c>
      <c r="H102" s="3">
        <v>0.21199999999999999</v>
      </c>
    </row>
    <row r="103" spans="1:8" x14ac:dyDescent="0.3">
      <c r="A103" t="s">
        <v>294</v>
      </c>
      <c r="B103" t="s">
        <v>295</v>
      </c>
      <c r="C103" t="s">
        <v>142</v>
      </c>
      <c r="D103" t="s">
        <v>352</v>
      </c>
      <c r="F103">
        <v>36288394</v>
      </c>
      <c r="G103">
        <v>7675771</v>
      </c>
      <c r="H103" s="3">
        <v>0.21199999999999999</v>
      </c>
    </row>
    <row r="104" spans="1:8" x14ac:dyDescent="0.3">
      <c r="A104" t="s">
        <v>294</v>
      </c>
      <c r="B104" t="s">
        <v>295</v>
      </c>
      <c r="C104" t="s">
        <v>142</v>
      </c>
      <c r="D104" t="s">
        <v>362</v>
      </c>
      <c r="F104">
        <v>39596528</v>
      </c>
      <c r="G104">
        <v>8395955</v>
      </c>
      <c r="H104" s="3">
        <v>0.21199999999999999</v>
      </c>
    </row>
    <row r="105" spans="1:8" x14ac:dyDescent="0.3">
      <c r="A105" t="s">
        <v>294</v>
      </c>
      <c r="B105" t="s">
        <v>295</v>
      </c>
      <c r="C105" t="s">
        <v>142</v>
      </c>
      <c r="D105" t="s">
        <v>322</v>
      </c>
      <c r="F105">
        <v>41929580</v>
      </c>
      <c r="G105">
        <v>8859007</v>
      </c>
      <c r="H105" s="3">
        <v>0.21099999999999999</v>
      </c>
    </row>
    <row r="106" spans="1:8" x14ac:dyDescent="0.3">
      <c r="A106" t="s">
        <v>294</v>
      </c>
      <c r="B106" t="s">
        <v>295</v>
      </c>
      <c r="C106" t="s">
        <v>142</v>
      </c>
      <c r="D106" t="s">
        <v>323</v>
      </c>
      <c r="F106">
        <v>41413648</v>
      </c>
      <c r="G106">
        <v>8718274</v>
      </c>
      <c r="H106" s="3">
        <v>0.21099999999999999</v>
      </c>
    </row>
    <row r="107" spans="1:8" x14ac:dyDescent="0.3">
      <c r="A107" t="s">
        <v>294</v>
      </c>
      <c r="B107" t="s">
        <v>295</v>
      </c>
      <c r="C107" t="s">
        <v>142</v>
      </c>
      <c r="D107" t="s">
        <v>339</v>
      </c>
      <c r="F107">
        <v>38151888</v>
      </c>
      <c r="G107">
        <v>8041566</v>
      </c>
      <c r="H107" s="3">
        <v>0.21099999999999999</v>
      </c>
    </row>
    <row r="108" spans="1:8" x14ac:dyDescent="0.3">
      <c r="A108" t="s">
        <v>294</v>
      </c>
      <c r="B108" t="s">
        <v>295</v>
      </c>
      <c r="C108" t="s">
        <v>142</v>
      </c>
      <c r="D108" t="s">
        <v>343</v>
      </c>
      <c r="F108">
        <v>39098743</v>
      </c>
      <c r="G108">
        <v>8259136</v>
      </c>
      <c r="H108" s="3">
        <v>0.21099999999999999</v>
      </c>
    </row>
    <row r="109" spans="1:8" x14ac:dyDescent="0.3">
      <c r="A109" t="s">
        <v>294</v>
      </c>
      <c r="B109" t="s">
        <v>295</v>
      </c>
      <c r="C109" t="s">
        <v>142</v>
      </c>
      <c r="D109" t="s">
        <v>355</v>
      </c>
      <c r="F109">
        <v>44261726</v>
      </c>
      <c r="G109">
        <v>9318983</v>
      </c>
      <c r="H109" s="3">
        <v>0.21099999999999999</v>
      </c>
    </row>
    <row r="110" spans="1:8" x14ac:dyDescent="0.3">
      <c r="A110" t="s">
        <v>294</v>
      </c>
      <c r="B110" t="s">
        <v>295</v>
      </c>
      <c r="C110" t="s">
        <v>142</v>
      </c>
      <c r="D110" t="s">
        <v>359</v>
      </c>
      <c r="F110">
        <v>42834827</v>
      </c>
      <c r="G110">
        <v>9050128</v>
      </c>
      <c r="H110" s="3">
        <v>0.21099999999999999</v>
      </c>
    </row>
    <row r="111" spans="1:8" x14ac:dyDescent="0.3">
      <c r="A111" t="s">
        <v>294</v>
      </c>
      <c r="B111" t="s">
        <v>295</v>
      </c>
      <c r="C111" t="s">
        <v>142</v>
      </c>
      <c r="D111" t="s">
        <v>330</v>
      </c>
      <c r="F111">
        <v>36065681</v>
      </c>
      <c r="G111">
        <v>7583968</v>
      </c>
      <c r="H111" s="3">
        <v>0.21</v>
      </c>
    </row>
    <row r="112" spans="1:8" x14ac:dyDescent="0.3">
      <c r="A112" t="s">
        <v>294</v>
      </c>
      <c r="B112" t="s">
        <v>295</v>
      </c>
      <c r="C112" t="s">
        <v>142</v>
      </c>
      <c r="D112" t="s">
        <v>346</v>
      </c>
      <c r="F112">
        <v>47688464</v>
      </c>
      <c r="G112">
        <v>10032708</v>
      </c>
      <c r="H112" s="3">
        <v>0.21</v>
      </c>
    </row>
    <row r="113" spans="1:8" x14ac:dyDescent="0.3">
      <c r="A113" t="s">
        <v>294</v>
      </c>
      <c r="B113" t="s">
        <v>295</v>
      </c>
      <c r="C113" t="s">
        <v>142</v>
      </c>
      <c r="D113" t="s">
        <v>360</v>
      </c>
      <c r="F113">
        <v>38562001</v>
      </c>
      <c r="G113">
        <v>8090500</v>
      </c>
      <c r="H113" s="3">
        <v>0.21</v>
      </c>
    </row>
    <row r="114" spans="1:8" x14ac:dyDescent="0.3">
      <c r="A114" t="s">
        <v>294</v>
      </c>
      <c r="B114" t="s">
        <v>295</v>
      </c>
      <c r="C114" t="s">
        <v>142</v>
      </c>
      <c r="D114" t="s">
        <v>319</v>
      </c>
      <c r="F114">
        <v>42339314</v>
      </c>
      <c r="G114">
        <v>8857982</v>
      </c>
      <c r="H114" s="3">
        <v>0.20899999999999999</v>
      </c>
    </row>
    <row r="115" spans="1:8" x14ac:dyDescent="0.3">
      <c r="A115" t="s">
        <v>294</v>
      </c>
      <c r="B115" t="s">
        <v>295</v>
      </c>
      <c r="C115" t="s">
        <v>142</v>
      </c>
      <c r="D115" t="s">
        <v>326</v>
      </c>
      <c r="F115">
        <v>38381645</v>
      </c>
      <c r="G115">
        <v>8040728</v>
      </c>
      <c r="H115" s="3">
        <v>0.20899999999999999</v>
      </c>
    </row>
    <row r="116" spans="1:8" x14ac:dyDescent="0.3">
      <c r="A116" t="s">
        <v>294</v>
      </c>
      <c r="B116" t="s">
        <v>295</v>
      </c>
      <c r="C116" t="s">
        <v>142</v>
      </c>
      <c r="D116" t="s">
        <v>332</v>
      </c>
      <c r="F116">
        <v>39827641</v>
      </c>
      <c r="G116">
        <v>8320156</v>
      </c>
      <c r="H116" s="3">
        <v>0.20899999999999999</v>
      </c>
    </row>
    <row r="117" spans="1:8" x14ac:dyDescent="0.3">
      <c r="A117" t="s">
        <v>294</v>
      </c>
      <c r="B117" t="s">
        <v>295</v>
      </c>
      <c r="C117" t="s">
        <v>142</v>
      </c>
      <c r="D117" t="s">
        <v>338</v>
      </c>
      <c r="F117">
        <v>27056159</v>
      </c>
      <c r="G117">
        <v>5653190</v>
      </c>
      <c r="H117" s="3">
        <v>0.20899999999999999</v>
      </c>
    </row>
    <row r="118" spans="1:8" x14ac:dyDescent="0.3">
      <c r="A118" t="s">
        <v>294</v>
      </c>
      <c r="B118" t="s">
        <v>295</v>
      </c>
      <c r="C118" t="s">
        <v>142</v>
      </c>
      <c r="D118" t="s">
        <v>353</v>
      </c>
      <c r="F118">
        <v>33807794</v>
      </c>
      <c r="G118">
        <v>7062039</v>
      </c>
      <c r="H118" s="3">
        <v>0.20899999999999999</v>
      </c>
    </row>
    <row r="119" spans="1:8" x14ac:dyDescent="0.3">
      <c r="A119" t="s">
        <v>294</v>
      </c>
      <c r="B119" t="s">
        <v>295</v>
      </c>
      <c r="C119" t="s">
        <v>142</v>
      </c>
      <c r="D119" t="s">
        <v>354</v>
      </c>
      <c r="F119">
        <v>41852612</v>
      </c>
      <c r="G119">
        <v>8728053</v>
      </c>
      <c r="H119" s="3">
        <v>0.20899999999999999</v>
      </c>
    </row>
    <row r="120" spans="1:8" x14ac:dyDescent="0.3">
      <c r="A120" t="s">
        <v>294</v>
      </c>
      <c r="B120" t="s">
        <v>295</v>
      </c>
      <c r="C120" t="s">
        <v>142</v>
      </c>
      <c r="D120" t="s">
        <v>315</v>
      </c>
      <c r="F120">
        <v>42069640</v>
      </c>
      <c r="G120">
        <v>8740425</v>
      </c>
      <c r="H120" s="3">
        <v>0.20799999999999999</v>
      </c>
    </row>
    <row r="121" spans="1:8" x14ac:dyDescent="0.3">
      <c r="A121" t="s">
        <v>294</v>
      </c>
      <c r="B121" t="s">
        <v>295</v>
      </c>
      <c r="C121" t="s">
        <v>142</v>
      </c>
      <c r="D121" t="s">
        <v>341</v>
      </c>
      <c r="F121">
        <v>39301667</v>
      </c>
      <c r="G121">
        <v>8144701</v>
      </c>
      <c r="H121" s="3">
        <v>0.20699999999999999</v>
      </c>
    </row>
    <row r="122" spans="1:8" x14ac:dyDescent="0.3">
      <c r="A122" t="s">
        <v>294</v>
      </c>
      <c r="B122" t="s">
        <v>295</v>
      </c>
      <c r="C122" t="s">
        <v>142</v>
      </c>
      <c r="D122" t="s">
        <v>361</v>
      </c>
      <c r="F122">
        <v>44738286</v>
      </c>
      <c r="G122">
        <v>9212160</v>
      </c>
      <c r="H122" s="3">
        <v>0.20599999999999999</v>
      </c>
    </row>
    <row r="123" spans="1:8" x14ac:dyDescent="0.3">
      <c r="A123" t="s">
        <v>294</v>
      </c>
      <c r="B123" t="s">
        <v>295</v>
      </c>
      <c r="C123" t="s">
        <v>142</v>
      </c>
      <c r="D123" t="s">
        <v>329</v>
      </c>
      <c r="F123">
        <v>41214672</v>
      </c>
      <c r="G123">
        <v>8461864</v>
      </c>
      <c r="H123" s="3">
        <v>0.20499999999999999</v>
      </c>
    </row>
    <row r="124" spans="1:8" x14ac:dyDescent="0.3">
      <c r="A124" t="s">
        <v>294</v>
      </c>
      <c r="B124" t="s">
        <v>295</v>
      </c>
      <c r="C124" t="s">
        <v>142</v>
      </c>
      <c r="D124" t="s">
        <v>347</v>
      </c>
      <c r="F124">
        <v>43885828</v>
      </c>
      <c r="G124">
        <v>9012679</v>
      </c>
      <c r="H124" s="3">
        <v>0.20499999999999999</v>
      </c>
    </row>
    <row r="125" spans="1:8" x14ac:dyDescent="0.3">
      <c r="A125" t="s">
        <v>294</v>
      </c>
      <c r="B125" t="s">
        <v>295</v>
      </c>
      <c r="C125" t="s">
        <v>142</v>
      </c>
      <c r="D125" t="s">
        <v>356</v>
      </c>
      <c r="F125">
        <v>36153747</v>
      </c>
      <c r="G125">
        <v>7409903</v>
      </c>
      <c r="H125" s="3">
        <v>0.20499999999999999</v>
      </c>
    </row>
    <row r="126" spans="1:8" x14ac:dyDescent="0.3">
      <c r="A126" t="s">
        <v>294</v>
      </c>
      <c r="B126" t="s">
        <v>295</v>
      </c>
      <c r="C126" t="s">
        <v>142</v>
      </c>
      <c r="D126" t="s">
        <v>337</v>
      </c>
      <c r="F126">
        <v>32632158</v>
      </c>
      <c r="G126">
        <v>6669350</v>
      </c>
      <c r="H126" s="3">
        <v>0.20399999999999999</v>
      </c>
    </row>
    <row r="127" spans="1:8" x14ac:dyDescent="0.3">
      <c r="A127" t="s">
        <v>294</v>
      </c>
      <c r="B127" t="s">
        <v>295</v>
      </c>
      <c r="C127" t="s">
        <v>142</v>
      </c>
      <c r="D127" t="s">
        <v>344</v>
      </c>
      <c r="F127">
        <v>39714887</v>
      </c>
      <c r="G127">
        <v>8113227</v>
      </c>
      <c r="H127" s="3">
        <v>0.20399999999999999</v>
      </c>
    </row>
    <row r="128" spans="1:8" x14ac:dyDescent="0.3">
      <c r="A128" t="s">
        <v>294</v>
      </c>
      <c r="B128" t="s">
        <v>295</v>
      </c>
      <c r="C128" t="s">
        <v>142</v>
      </c>
      <c r="D128" t="s">
        <v>325</v>
      </c>
      <c r="F128">
        <v>38398651</v>
      </c>
      <c r="G128">
        <v>7711831</v>
      </c>
      <c r="H128" s="3">
        <v>0.20100000000000001</v>
      </c>
    </row>
    <row r="129" spans="1:8" x14ac:dyDescent="0.3">
      <c r="A129" t="s">
        <v>294</v>
      </c>
      <c r="B129" t="s">
        <v>295</v>
      </c>
      <c r="C129" t="s">
        <v>142</v>
      </c>
      <c r="D129" t="s">
        <v>342</v>
      </c>
      <c r="F129">
        <v>38856821</v>
      </c>
      <c r="G129">
        <v>7781094</v>
      </c>
      <c r="H129" s="3">
        <v>0.2</v>
      </c>
    </row>
    <row r="130" spans="1:8" x14ac:dyDescent="0.3">
      <c r="A130" t="s">
        <v>294</v>
      </c>
      <c r="B130" t="s">
        <v>295</v>
      </c>
      <c r="C130" t="s">
        <v>142</v>
      </c>
      <c r="D130" t="s">
        <v>328</v>
      </c>
      <c r="F130">
        <v>33635078</v>
      </c>
      <c r="G130">
        <v>6372085</v>
      </c>
      <c r="H130" s="3">
        <v>0.189</v>
      </c>
    </row>
    <row r="131" spans="1:8" x14ac:dyDescent="0.3">
      <c r="A131" t="s">
        <v>294</v>
      </c>
      <c r="B131" t="s">
        <v>295</v>
      </c>
      <c r="C131" t="s">
        <v>142</v>
      </c>
      <c r="D131" t="s">
        <v>340</v>
      </c>
      <c r="F131">
        <v>37125821</v>
      </c>
      <c r="G131">
        <v>1472040</v>
      </c>
      <c r="H131" s="3">
        <v>0.04</v>
      </c>
    </row>
    <row r="132" spans="1:8" x14ac:dyDescent="0.3">
      <c r="A132" t="s">
        <v>294</v>
      </c>
      <c r="B132" t="s">
        <v>295</v>
      </c>
      <c r="C132" t="s">
        <v>142</v>
      </c>
      <c r="D132" t="s">
        <v>320</v>
      </c>
      <c r="F132">
        <v>45862396</v>
      </c>
      <c r="G132">
        <v>9909526</v>
      </c>
      <c r="H132" s="3">
        <v>0.216</v>
      </c>
    </row>
    <row r="133" spans="1:8" x14ac:dyDescent="0.3">
      <c r="A133" t="s">
        <v>294</v>
      </c>
      <c r="B133" t="s">
        <v>295</v>
      </c>
      <c r="C133" t="s">
        <v>142</v>
      </c>
      <c r="D133" t="s">
        <v>334</v>
      </c>
      <c r="F133">
        <v>37922161</v>
      </c>
      <c r="G133">
        <v>7900753</v>
      </c>
      <c r="H133" s="3">
        <v>0.20799999999999999</v>
      </c>
    </row>
    <row r="134" spans="1:8" x14ac:dyDescent="0.3">
      <c r="A134" t="s">
        <v>294</v>
      </c>
      <c r="B134" t="s">
        <v>295</v>
      </c>
      <c r="C134" t="s">
        <v>142</v>
      </c>
      <c r="D134" t="s">
        <v>335</v>
      </c>
      <c r="F134">
        <v>34389970</v>
      </c>
      <c r="G134">
        <v>7371218</v>
      </c>
      <c r="H134" s="3">
        <v>0.214</v>
      </c>
    </row>
    <row r="135" spans="1:8" x14ac:dyDescent="0.3">
      <c r="A135" t="s">
        <v>294</v>
      </c>
      <c r="B135" t="s">
        <v>295</v>
      </c>
      <c r="C135" t="s">
        <v>142</v>
      </c>
      <c r="D135" t="s">
        <v>336</v>
      </c>
      <c r="F135">
        <v>37963944</v>
      </c>
      <c r="G135">
        <v>7759651</v>
      </c>
      <c r="H135" s="3">
        <v>0.20399999999999999</v>
      </c>
    </row>
    <row r="136" spans="1:8" x14ac:dyDescent="0.3">
      <c r="A136" t="s">
        <v>294</v>
      </c>
      <c r="B136" t="s">
        <v>295</v>
      </c>
      <c r="C136" t="s">
        <v>142</v>
      </c>
      <c r="D136" t="s">
        <v>357</v>
      </c>
      <c r="F136">
        <v>37248284</v>
      </c>
      <c r="G136">
        <v>7793699</v>
      </c>
      <c r="H136" s="3">
        <v>0.20899999999999999</v>
      </c>
    </row>
    <row r="137" spans="1:8" x14ac:dyDescent="0.3">
      <c r="A137" t="s">
        <v>294</v>
      </c>
      <c r="B137" t="s">
        <v>295</v>
      </c>
      <c r="C137" t="s">
        <v>142</v>
      </c>
      <c r="D137" t="s">
        <v>358</v>
      </c>
      <c r="F137">
        <v>41180901</v>
      </c>
      <c r="G137">
        <v>8781603</v>
      </c>
      <c r="H137" s="3">
        <v>0.21299999999999999</v>
      </c>
    </row>
    <row r="138" spans="1:8" x14ac:dyDescent="0.3">
      <c r="A138" t="s">
        <v>294</v>
      </c>
      <c r="B138" t="s">
        <v>295</v>
      </c>
      <c r="C138" t="s">
        <v>254</v>
      </c>
      <c r="D138" t="s">
        <v>317</v>
      </c>
      <c r="F138">
        <v>40366927</v>
      </c>
      <c r="G138">
        <v>27190923</v>
      </c>
      <c r="H138" s="3">
        <v>0.67400000000000004</v>
      </c>
    </row>
    <row r="139" spans="1:8" x14ac:dyDescent="0.3">
      <c r="A139" t="s">
        <v>294</v>
      </c>
      <c r="B139" t="s">
        <v>295</v>
      </c>
      <c r="C139" t="s">
        <v>254</v>
      </c>
      <c r="D139" t="s">
        <v>337</v>
      </c>
      <c r="F139">
        <v>32632158</v>
      </c>
      <c r="G139">
        <v>21723574</v>
      </c>
      <c r="H139" s="3">
        <v>0.66600000000000004</v>
      </c>
    </row>
    <row r="140" spans="1:8" x14ac:dyDescent="0.3">
      <c r="A140" t="s">
        <v>294</v>
      </c>
      <c r="B140" t="s">
        <v>295</v>
      </c>
      <c r="C140" t="s">
        <v>254</v>
      </c>
      <c r="D140" t="s">
        <v>316</v>
      </c>
      <c r="F140">
        <v>46165270</v>
      </c>
      <c r="G140">
        <v>30720132</v>
      </c>
      <c r="H140" s="3">
        <v>0.66500000000000004</v>
      </c>
    </row>
    <row r="141" spans="1:8" x14ac:dyDescent="0.3">
      <c r="A141" t="s">
        <v>294</v>
      </c>
      <c r="B141" t="s">
        <v>295</v>
      </c>
      <c r="C141" t="s">
        <v>254</v>
      </c>
      <c r="D141" t="s">
        <v>333</v>
      </c>
      <c r="F141">
        <v>46882529</v>
      </c>
      <c r="G141">
        <v>31021642</v>
      </c>
      <c r="H141" s="3">
        <v>0.66200000000000003</v>
      </c>
    </row>
    <row r="142" spans="1:8" x14ac:dyDescent="0.3">
      <c r="A142" t="s">
        <v>294</v>
      </c>
      <c r="B142" t="s">
        <v>295</v>
      </c>
      <c r="C142" t="s">
        <v>254</v>
      </c>
      <c r="D142" t="s">
        <v>351</v>
      </c>
      <c r="F142">
        <v>41773270</v>
      </c>
      <c r="G142">
        <v>27496480</v>
      </c>
      <c r="H142" s="3">
        <v>0.65800000000000003</v>
      </c>
    </row>
    <row r="143" spans="1:8" x14ac:dyDescent="0.3">
      <c r="A143" t="s">
        <v>294</v>
      </c>
      <c r="B143" t="s">
        <v>295</v>
      </c>
      <c r="C143" t="s">
        <v>254</v>
      </c>
      <c r="D143" t="s">
        <v>327</v>
      </c>
      <c r="F143">
        <v>33195830</v>
      </c>
      <c r="G143">
        <v>21594126</v>
      </c>
      <c r="H143" s="3">
        <v>0.65100000000000002</v>
      </c>
    </row>
    <row r="144" spans="1:8" x14ac:dyDescent="0.3">
      <c r="A144" t="s">
        <v>294</v>
      </c>
      <c r="B144" t="s">
        <v>295</v>
      </c>
      <c r="C144" t="s">
        <v>254</v>
      </c>
      <c r="D144" t="s">
        <v>331</v>
      </c>
      <c r="F144">
        <v>34022208</v>
      </c>
      <c r="G144">
        <v>22134662</v>
      </c>
      <c r="H144" s="3">
        <v>0.65100000000000002</v>
      </c>
    </row>
    <row r="145" spans="1:8" x14ac:dyDescent="0.3">
      <c r="A145" t="s">
        <v>294</v>
      </c>
      <c r="B145" t="s">
        <v>295</v>
      </c>
      <c r="C145" t="s">
        <v>254</v>
      </c>
      <c r="D145" t="s">
        <v>335</v>
      </c>
      <c r="F145">
        <v>34389972</v>
      </c>
      <c r="G145">
        <v>22397174</v>
      </c>
      <c r="H145" s="3">
        <v>0.65100000000000002</v>
      </c>
    </row>
    <row r="146" spans="1:8" x14ac:dyDescent="0.3">
      <c r="A146" t="s">
        <v>294</v>
      </c>
      <c r="B146" t="s">
        <v>295</v>
      </c>
      <c r="C146" t="s">
        <v>254</v>
      </c>
      <c r="D146" t="s">
        <v>320</v>
      </c>
      <c r="F146">
        <v>45862400</v>
      </c>
      <c r="G146">
        <v>29781165</v>
      </c>
      <c r="H146" s="3">
        <v>0.64900000000000002</v>
      </c>
    </row>
    <row r="147" spans="1:8" x14ac:dyDescent="0.3">
      <c r="A147" t="s">
        <v>294</v>
      </c>
      <c r="B147" t="s">
        <v>295</v>
      </c>
      <c r="C147" t="s">
        <v>254</v>
      </c>
      <c r="D147" t="s">
        <v>350</v>
      </c>
      <c r="F147">
        <v>45319408</v>
      </c>
      <c r="G147">
        <v>29407897</v>
      </c>
      <c r="H147" s="3">
        <v>0.64900000000000002</v>
      </c>
    </row>
    <row r="148" spans="1:8" x14ac:dyDescent="0.3">
      <c r="A148" t="s">
        <v>294</v>
      </c>
      <c r="B148" t="s">
        <v>295</v>
      </c>
      <c r="C148" t="s">
        <v>254</v>
      </c>
      <c r="D148" t="s">
        <v>324</v>
      </c>
      <c r="F148">
        <v>38697077</v>
      </c>
      <c r="G148">
        <v>24967060</v>
      </c>
      <c r="H148" s="3">
        <v>0.64500000000000002</v>
      </c>
    </row>
    <row r="149" spans="1:8" x14ac:dyDescent="0.3">
      <c r="A149" t="s">
        <v>294</v>
      </c>
      <c r="B149" t="s">
        <v>295</v>
      </c>
      <c r="C149" t="s">
        <v>254</v>
      </c>
      <c r="D149" t="s">
        <v>339</v>
      </c>
      <c r="F149">
        <v>38151888</v>
      </c>
      <c r="G149">
        <v>24603073</v>
      </c>
      <c r="H149" s="3">
        <v>0.64500000000000002</v>
      </c>
    </row>
    <row r="150" spans="1:8" x14ac:dyDescent="0.3">
      <c r="A150" t="s">
        <v>294</v>
      </c>
      <c r="B150" t="s">
        <v>295</v>
      </c>
      <c r="C150" t="s">
        <v>254</v>
      </c>
      <c r="D150" t="s">
        <v>323</v>
      </c>
      <c r="F150">
        <v>41413648</v>
      </c>
      <c r="G150">
        <v>26688746</v>
      </c>
      <c r="H150" s="3">
        <v>0.64400000000000002</v>
      </c>
    </row>
    <row r="151" spans="1:8" x14ac:dyDescent="0.3">
      <c r="A151" t="s">
        <v>294</v>
      </c>
      <c r="B151" t="s">
        <v>295</v>
      </c>
      <c r="C151" t="s">
        <v>254</v>
      </c>
      <c r="D151" t="s">
        <v>334</v>
      </c>
      <c r="F151">
        <v>37922165</v>
      </c>
      <c r="G151">
        <v>24424493</v>
      </c>
      <c r="H151" s="3">
        <v>0.64400000000000002</v>
      </c>
    </row>
    <row r="152" spans="1:8" x14ac:dyDescent="0.3">
      <c r="A152" t="s">
        <v>294</v>
      </c>
      <c r="B152" t="s">
        <v>295</v>
      </c>
      <c r="C152" t="s">
        <v>254</v>
      </c>
      <c r="D152" t="s">
        <v>347</v>
      </c>
      <c r="F152">
        <v>43885828</v>
      </c>
      <c r="G152">
        <v>28267773</v>
      </c>
      <c r="H152" s="3">
        <v>0.64400000000000002</v>
      </c>
    </row>
    <row r="153" spans="1:8" x14ac:dyDescent="0.3">
      <c r="A153" t="s">
        <v>294</v>
      </c>
      <c r="B153" t="s">
        <v>295</v>
      </c>
      <c r="C153" t="s">
        <v>254</v>
      </c>
      <c r="D153" t="s">
        <v>358</v>
      </c>
      <c r="F153">
        <v>41180902</v>
      </c>
      <c r="G153">
        <v>26509398</v>
      </c>
      <c r="H153" s="3">
        <v>0.64400000000000002</v>
      </c>
    </row>
    <row r="154" spans="1:8" x14ac:dyDescent="0.3">
      <c r="A154" t="s">
        <v>294</v>
      </c>
      <c r="B154" t="s">
        <v>295</v>
      </c>
      <c r="C154" t="s">
        <v>254</v>
      </c>
      <c r="D154" t="s">
        <v>345</v>
      </c>
      <c r="F154">
        <v>49923461</v>
      </c>
      <c r="G154">
        <v>32064991</v>
      </c>
      <c r="H154" s="3">
        <v>0.64200000000000002</v>
      </c>
    </row>
    <row r="155" spans="1:8" x14ac:dyDescent="0.3">
      <c r="A155" t="s">
        <v>294</v>
      </c>
      <c r="B155" t="s">
        <v>295</v>
      </c>
      <c r="C155" t="s">
        <v>254</v>
      </c>
      <c r="D155" t="s">
        <v>348</v>
      </c>
      <c r="F155">
        <v>40589777</v>
      </c>
      <c r="G155">
        <v>26022387</v>
      </c>
      <c r="H155" s="3">
        <v>0.64100000000000001</v>
      </c>
    </row>
    <row r="156" spans="1:8" x14ac:dyDescent="0.3">
      <c r="A156" t="s">
        <v>294</v>
      </c>
      <c r="B156" t="s">
        <v>295</v>
      </c>
      <c r="C156" t="s">
        <v>254</v>
      </c>
      <c r="D156" t="s">
        <v>329</v>
      </c>
      <c r="F156">
        <v>41214672</v>
      </c>
      <c r="G156">
        <v>26395711</v>
      </c>
      <c r="H156" s="3">
        <v>0.64</v>
      </c>
    </row>
    <row r="157" spans="1:8" x14ac:dyDescent="0.3">
      <c r="A157" t="s">
        <v>294</v>
      </c>
      <c r="B157" t="s">
        <v>295</v>
      </c>
      <c r="C157" t="s">
        <v>254</v>
      </c>
      <c r="D157" t="s">
        <v>332</v>
      </c>
      <c r="F157">
        <v>39827641</v>
      </c>
      <c r="G157">
        <v>25501678</v>
      </c>
      <c r="H157" s="3">
        <v>0.64</v>
      </c>
    </row>
    <row r="158" spans="1:8" x14ac:dyDescent="0.3">
      <c r="A158" t="s">
        <v>294</v>
      </c>
      <c r="B158" t="s">
        <v>295</v>
      </c>
      <c r="C158" t="s">
        <v>254</v>
      </c>
      <c r="D158" t="s">
        <v>338</v>
      </c>
      <c r="F158">
        <v>27056159</v>
      </c>
      <c r="G158">
        <v>17316455</v>
      </c>
      <c r="H158" s="3">
        <v>0.64</v>
      </c>
    </row>
    <row r="159" spans="1:8" x14ac:dyDescent="0.3">
      <c r="A159" t="s">
        <v>294</v>
      </c>
      <c r="B159" t="s">
        <v>295</v>
      </c>
      <c r="C159" t="s">
        <v>254</v>
      </c>
      <c r="D159" t="s">
        <v>321</v>
      </c>
      <c r="F159">
        <v>39402070</v>
      </c>
      <c r="G159">
        <v>25169503</v>
      </c>
      <c r="H159" s="3">
        <v>0.63900000000000001</v>
      </c>
    </row>
    <row r="160" spans="1:8" x14ac:dyDescent="0.3">
      <c r="A160" t="s">
        <v>294</v>
      </c>
      <c r="B160" t="s">
        <v>295</v>
      </c>
      <c r="C160" t="s">
        <v>254</v>
      </c>
      <c r="D160" t="s">
        <v>322</v>
      </c>
      <c r="F160">
        <v>41929580</v>
      </c>
      <c r="G160">
        <v>26785198</v>
      </c>
      <c r="H160" s="3">
        <v>0.63900000000000001</v>
      </c>
    </row>
    <row r="161" spans="1:8" x14ac:dyDescent="0.3">
      <c r="A161" t="s">
        <v>294</v>
      </c>
      <c r="B161" t="s">
        <v>295</v>
      </c>
      <c r="C161" t="s">
        <v>254</v>
      </c>
      <c r="D161" t="s">
        <v>330</v>
      </c>
      <c r="F161">
        <v>36065681</v>
      </c>
      <c r="G161">
        <v>23043834</v>
      </c>
      <c r="H161" s="3">
        <v>0.63900000000000001</v>
      </c>
    </row>
    <row r="162" spans="1:8" x14ac:dyDescent="0.3">
      <c r="A162" t="s">
        <v>294</v>
      </c>
      <c r="B162" t="s">
        <v>295</v>
      </c>
      <c r="C162" t="s">
        <v>254</v>
      </c>
      <c r="D162" t="s">
        <v>343</v>
      </c>
      <c r="F162">
        <v>39098743</v>
      </c>
      <c r="G162">
        <v>24942715</v>
      </c>
      <c r="H162" s="3">
        <v>0.63800000000000001</v>
      </c>
    </row>
    <row r="163" spans="1:8" x14ac:dyDescent="0.3">
      <c r="A163" t="s">
        <v>294</v>
      </c>
      <c r="B163" t="s">
        <v>295</v>
      </c>
      <c r="C163" t="s">
        <v>254</v>
      </c>
      <c r="D163" t="s">
        <v>318</v>
      </c>
      <c r="F163">
        <v>42118868</v>
      </c>
      <c r="G163">
        <v>26811725</v>
      </c>
      <c r="H163" s="3">
        <v>0.63700000000000001</v>
      </c>
    </row>
    <row r="164" spans="1:8" x14ac:dyDescent="0.3">
      <c r="A164" t="s">
        <v>294</v>
      </c>
      <c r="B164" t="s">
        <v>295</v>
      </c>
      <c r="C164" t="s">
        <v>254</v>
      </c>
      <c r="D164" t="s">
        <v>355</v>
      </c>
      <c r="F164">
        <v>44261726</v>
      </c>
      <c r="G164">
        <v>28183470</v>
      </c>
      <c r="H164" s="3">
        <v>0.63700000000000001</v>
      </c>
    </row>
    <row r="165" spans="1:8" x14ac:dyDescent="0.3">
      <c r="A165" t="s">
        <v>294</v>
      </c>
      <c r="B165" t="s">
        <v>295</v>
      </c>
      <c r="C165" t="s">
        <v>254</v>
      </c>
      <c r="D165" t="s">
        <v>341</v>
      </c>
      <c r="F165">
        <v>39301667</v>
      </c>
      <c r="G165">
        <v>25007148</v>
      </c>
      <c r="H165" s="3">
        <v>0.63600000000000001</v>
      </c>
    </row>
    <row r="166" spans="1:8" x14ac:dyDescent="0.3">
      <c r="A166" t="s">
        <v>294</v>
      </c>
      <c r="B166" t="s">
        <v>295</v>
      </c>
      <c r="C166" t="s">
        <v>254</v>
      </c>
      <c r="D166" t="s">
        <v>319</v>
      </c>
      <c r="F166">
        <v>42339314</v>
      </c>
      <c r="G166">
        <v>26874325</v>
      </c>
      <c r="H166" s="3">
        <v>0.63500000000000001</v>
      </c>
    </row>
    <row r="167" spans="1:8" x14ac:dyDescent="0.3">
      <c r="A167" t="s">
        <v>294</v>
      </c>
      <c r="B167" t="s">
        <v>295</v>
      </c>
      <c r="C167" t="s">
        <v>254</v>
      </c>
      <c r="D167" t="s">
        <v>352</v>
      </c>
      <c r="F167">
        <v>36288394</v>
      </c>
      <c r="G167">
        <v>23027649</v>
      </c>
      <c r="H167" s="3">
        <v>0.63500000000000001</v>
      </c>
    </row>
    <row r="168" spans="1:8" x14ac:dyDescent="0.3">
      <c r="A168" t="s">
        <v>294</v>
      </c>
      <c r="B168" t="s">
        <v>295</v>
      </c>
      <c r="C168" t="s">
        <v>254</v>
      </c>
      <c r="D168" t="s">
        <v>354</v>
      </c>
      <c r="F168">
        <v>41852612</v>
      </c>
      <c r="G168">
        <v>26574206</v>
      </c>
      <c r="H168" s="3">
        <v>0.63500000000000001</v>
      </c>
    </row>
    <row r="169" spans="1:8" x14ac:dyDescent="0.3">
      <c r="A169" t="s">
        <v>294</v>
      </c>
      <c r="B169" t="s">
        <v>295</v>
      </c>
      <c r="C169" t="s">
        <v>254</v>
      </c>
      <c r="D169" t="s">
        <v>359</v>
      </c>
      <c r="F169">
        <v>42834827</v>
      </c>
      <c r="G169">
        <v>27188415</v>
      </c>
      <c r="H169" s="3">
        <v>0.63500000000000001</v>
      </c>
    </row>
    <row r="170" spans="1:8" x14ac:dyDescent="0.3">
      <c r="A170" t="s">
        <v>294</v>
      </c>
      <c r="B170" t="s">
        <v>295</v>
      </c>
      <c r="C170" t="s">
        <v>254</v>
      </c>
      <c r="D170" t="s">
        <v>325</v>
      </c>
      <c r="F170">
        <v>38398651</v>
      </c>
      <c r="G170">
        <v>24342662</v>
      </c>
      <c r="H170" s="3">
        <v>0.63400000000000001</v>
      </c>
    </row>
    <row r="171" spans="1:8" x14ac:dyDescent="0.3">
      <c r="A171" t="s">
        <v>294</v>
      </c>
      <c r="B171" t="s">
        <v>295</v>
      </c>
      <c r="C171" t="s">
        <v>254</v>
      </c>
      <c r="D171" t="s">
        <v>357</v>
      </c>
      <c r="F171">
        <v>37248287</v>
      </c>
      <c r="G171">
        <v>23618903</v>
      </c>
      <c r="H171" s="3">
        <v>0.63400000000000001</v>
      </c>
    </row>
    <row r="172" spans="1:8" x14ac:dyDescent="0.3">
      <c r="A172" t="s">
        <v>294</v>
      </c>
      <c r="B172" t="s">
        <v>295</v>
      </c>
      <c r="C172" t="s">
        <v>254</v>
      </c>
      <c r="D172" t="s">
        <v>315</v>
      </c>
      <c r="F172">
        <v>42069640</v>
      </c>
      <c r="G172">
        <v>26611158</v>
      </c>
      <c r="H172" s="3">
        <v>0.63300000000000001</v>
      </c>
    </row>
    <row r="173" spans="1:8" x14ac:dyDescent="0.3">
      <c r="A173" t="s">
        <v>294</v>
      </c>
      <c r="B173" t="s">
        <v>295</v>
      </c>
      <c r="C173" t="s">
        <v>254</v>
      </c>
      <c r="D173" t="s">
        <v>353</v>
      </c>
      <c r="F173">
        <v>33807794</v>
      </c>
      <c r="G173">
        <v>21411045</v>
      </c>
      <c r="H173" s="3">
        <v>0.63300000000000001</v>
      </c>
    </row>
    <row r="174" spans="1:8" x14ac:dyDescent="0.3">
      <c r="A174" t="s">
        <v>294</v>
      </c>
      <c r="B174" t="s">
        <v>295</v>
      </c>
      <c r="C174" t="s">
        <v>254</v>
      </c>
      <c r="D174" t="s">
        <v>356</v>
      </c>
      <c r="F174">
        <v>36153747</v>
      </c>
      <c r="G174">
        <v>22879122</v>
      </c>
      <c r="H174" s="3">
        <v>0.63300000000000001</v>
      </c>
    </row>
    <row r="175" spans="1:8" x14ac:dyDescent="0.3">
      <c r="A175" t="s">
        <v>294</v>
      </c>
      <c r="B175" t="s">
        <v>295</v>
      </c>
      <c r="C175" t="s">
        <v>254</v>
      </c>
      <c r="D175" t="s">
        <v>346</v>
      </c>
      <c r="F175">
        <v>47688464</v>
      </c>
      <c r="G175">
        <v>29942643</v>
      </c>
      <c r="H175" s="3">
        <v>0.628</v>
      </c>
    </row>
    <row r="176" spans="1:8" x14ac:dyDescent="0.3">
      <c r="A176" t="s">
        <v>294</v>
      </c>
      <c r="B176" t="s">
        <v>295</v>
      </c>
      <c r="C176" t="s">
        <v>254</v>
      </c>
      <c r="D176" t="s">
        <v>360</v>
      </c>
      <c r="F176">
        <v>38562001</v>
      </c>
      <c r="G176">
        <v>24227112</v>
      </c>
      <c r="H176" s="3">
        <v>0.628</v>
      </c>
    </row>
    <row r="177" spans="1:24" x14ac:dyDescent="0.3">
      <c r="A177" t="s">
        <v>294</v>
      </c>
      <c r="B177" t="s">
        <v>295</v>
      </c>
      <c r="C177" t="s">
        <v>254</v>
      </c>
      <c r="D177" t="s">
        <v>361</v>
      </c>
      <c r="F177">
        <v>44738286</v>
      </c>
      <c r="G177">
        <v>28044449</v>
      </c>
      <c r="H177" s="3">
        <v>0.627</v>
      </c>
    </row>
    <row r="178" spans="1:24" x14ac:dyDescent="0.3">
      <c r="A178" t="s">
        <v>294</v>
      </c>
      <c r="B178" t="s">
        <v>295</v>
      </c>
      <c r="C178" t="s">
        <v>254</v>
      </c>
      <c r="D178" t="s">
        <v>344</v>
      </c>
      <c r="F178">
        <v>39714887</v>
      </c>
      <c r="G178">
        <v>24862113</v>
      </c>
      <c r="H178" s="3">
        <v>0.626</v>
      </c>
    </row>
    <row r="179" spans="1:24" x14ac:dyDescent="0.3">
      <c r="A179" t="s">
        <v>294</v>
      </c>
      <c r="B179" t="s">
        <v>295</v>
      </c>
      <c r="C179" t="s">
        <v>254</v>
      </c>
      <c r="D179" t="s">
        <v>336</v>
      </c>
      <c r="F179">
        <v>37963949</v>
      </c>
      <c r="G179">
        <v>23744748</v>
      </c>
      <c r="H179" s="3">
        <v>0.625</v>
      </c>
    </row>
    <row r="180" spans="1:24" x14ac:dyDescent="0.3">
      <c r="A180" t="s">
        <v>294</v>
      </c>
      <c r="B180" t="s">
        <v>295</v>
      </c>
      <c r="C180" t="s">
        <v>254</v>
      </c>
      <c r="D180" t="s">
        <v>326</v>
      </c>
      <c r="F180">
        <v>38381645</v>
      </c>
      <c r="G180">
        <v>23867986</v>
      </c>
      <c r="H180" s="3">
        <v>0.622</v>
      </c>
    </row>
    <row r="181" spans="1:24" x14ac:dyDescent="0.3">
      <c r="A181" t="s">
        <v>294</v>
      </c>
      <c r="B181" t="s">
        <v>295</v>
      </c>
      <c r="C181" t="s">
        <v>254</v>
      </c>
      <c r="D181" t="s">
        <v>349</v>
      </c>
      <c r="F181">
        <v>37832006</v>
      </c>
      <c r="G181">
        <v>23466048</v>
      </c>
      <c r="H181" s="3">
        <v>0.62</v>
      </c>
    </row>
    <row r="182" spans="1:24" x14ac:dyDescent="0.3">
      <c r="A182" t="s">
        <v>294</v>
      </c>
      <c r="B182" t="s">
        <v>295</v>
      </c>
      <c r="C182" t="s">
        <v>254</v>
      </c>
      <c r="D182" t="s">
        <v>342</v>
      </c>
      <c r="F182">
        <v>38856821</v>
      </c>
      <c r="G182">
        <v>23190101</v>
      </c>
      <c r="H182" s="3">
        <v>0.59699999999999998</v>
      </c>
    </row>
    <row r="183" spans="1:24" x14ac:dyDescent="0.3">
      <c r="A183" t="s">
        <v>294</v>
      </c>
      <c r="B183" t="s">
        <v>295</v>
      </c>
      <c r="C183" t="s">
        <v>254</v>
      </c>
      <c r="D183" t="s">
        <v>328</v>
      </c>
      <c r="F183">
        <v>33635078</v>
      </c>
      <c r="G183">
        <v>18906421</v>
      </c>
      <c r="H183" s="3">
        <v>0.56200000000000006</v>
      </c>
    </row>
    <row r="184" spans="1:24" x14ac:dyDescent="0.3">
      <c r="A184" t="s">
        <v>294</v>
      </c>
      <c r="B184" t="s">
        <v>295</v>
      </c>
      <c r="C184" t="s">
        <v>254</v>
      </c>
      <c r="D184" t="s">
        <v>340</v>
      </c>
      <c r="F184">
        <v>37125821</v>
      </c>
      <c r="G184">
        <v>6702936</v>
      </c>
      <c r="H184" s="3">
        <v>0.18099999999999999</v>
      </c>
    </row>
    <row r="185" spans="1:24" x14ac:dyDescent="0.3">
      <c r="A185" t="s">
        <v>294</v>
      </c>
      <c r="B185" t="s">
        <v>295</v>
      </c>
      <c r="C185" t="s">
        <v>254</v>
      </c>
      <c r="D185" t="s">
        <v>362</v>
      </c>
    </row>
    <row r="186" spans="1:24" x14ac:dyDescent="0.3">
      <c r="A186" t="s">
        <v>294</v>
      </c>
      <c r="B186" t="s">
        <v>295</v>
      </c>
      <c r="C186" t="s">
        <v>252</v>
      </c>
      <c r="D186" t="s">
        <v>340</v>
      </c>
      <c r="F186">
        <v>394558479</v>
      </c>
      <c r="G186">
        <v>389439789</v>
      </c>
      <c r="H186" s="3">
        <v>0.98702699999999999</v>
      </c>
      <c r="I186">
        <v>201254844</v>
      </c>
      <c r="J186" s="3">
        <v>0.51007599999999997</v>
      </c>
      <c r="K186">
        <v>193303635</v>
      </c>
      <c r="L186" s="3">
        <v>0.48992400000000003</v>
      </c>
      <c r="M186">
        <v>0</v>
      </c>
      <c r="N186" s="3">
        <v>0</v>
      </c>
      <c r="O186">
        <v>0</v>
      </c>
      <c r="P186" s="3">
        <v>1</v>
      </c>
      <c r="Q186">
        <v>389437995</v>
      </c>
      <c r="R186" s="3">
        <v>0.98702199999999995</v>
      </c>
      <c r="S186">
        <v>206532297</v>
      </c>
      <c r="T186">
        <v>188026182</v>
      </c>
      <c r="U186">
        <v>1794</v>
      </c>
      <c r="V186" s="3">
        <v>4.5468500000000004E-6</v>
      </c>
      <c r="W186" s="12">
        <v>1855600</v>
      </c>
      <c r="X186">
        <v>39</v>
      </c>
    </row>
    <row r="187" spans="1:24" x14ac:dyDescent="0.3">
      <c r="A187" t="s">
        <v>294</v>
      </c>
      <c r="B187" t="s">
        <v>295</v>
      </c>
      <c r="C187" t="s">
        <v>252</v>
      </c>
      <c r="D187" t="s">
        <v>328</v>
      </c>
      <c r="F187">
        <v>96390733</v>
      </c>
      <c r="G187">
        <v>91904658</v>
      </c>
      <c r="H187" s="3">
        <v>0.95345899999999995</v>
      </c>
      <c r="I187">
        <v>51031290</v>
      </c>
      <c r="J187" s="3">
        <v>0.52942100000000003</v>
      </c>
      <c r="K187">
        <v>45359443</v>
      </c>
      <c r="L187" s="3">
        <v>0.47057900000000003</v>
      </c>
      <c r="M187">
        <v>0</v>
      </c>
      <c r="N187" s="3">
        <v>0</v>
      </c>
      <c r="O187">
        <v>0</v>
      </c>
      <c r="P187" s="3">
        <v>1</v>
      </c>
      <c r="Q187">
        <v>91904505</v>
      </c>
      <c r="R187" s="3">
        <v>0.95345800000000003</v>
      </c>
      <c r="S187">
        <v>48818635</v>
      </c>
      <c r="T187">
        <v>47572098</v>
      </c>
      <c r="U187">
        <v>153</v>
      </c>
      <c r="V187" s="3">
        <v>1.58729E-6</v>
      </c>
      <c r="W187" s="12">
        <v>1018060</v>
      </c>
      <c r="X187">
        <v>147</v>
      </c>
    </row>
    <row r="188" spans="1:24" x14ac:dyDescent="0.3">
      <c r="A188" t="s">
        <v>294</v>
      </c>
      <c r="B188" t="s">
        <v>295</v>
      </c>
      <c r="C188" t="s">
        <v>252</v>
      </c>
      <c r="D188" t="s">
        <v>326</v>
      </c>
      <c r="F188">
        <v>119143266</v>
      </c>
      <c r="G188">
        <v>112745361</v>
      </c>
      <c r="H188" s="3">
        <v>0.94630099999999995</v>
      </c>
      <c r="I188">
        <v>63637141</v>
      </c>
      <c r="J188" s="3">
        <v>0.53412300000000001</v>
      </c>
      <c r="K188">
        <v>55506125</v>
      </c>
      <c r="L188" s="3">
        <v>0.46587699999999999</v>
      </c>
      <c r="M188">
        <v>0</v>
      </c>
      <c r="N188" s="3">
        <v>0</v>
      </c>
      <c r="O188">
        <v>0</v>
      </c>
      <c r="P188" s="3">
        <v>1</v>
      </c>
      <c r="Q188">
        <v>112745288</v>
      </c>
      <c r="R188" s="3">
        <v>0.94630000000000003</v>
      </c>
      <c r="S188">
        <v>59874091</v>
      </c>
      <c r="T188">
        <v>59269175</v>
      </c>
      <c r="U188">
        <v>73</v>
      </c>
      <c r="V188" s="12">
        <v>6.1270799999999998E-7</v>
      </c>
      <c r="W188">
        <v>876868</v>
      </c>
      <c r="X188">
        <v>152</v>
      </c>
    </row>
    <row r="189" spans="1:24" x14ac:dyDescent="0.3">
      <c r="A189" t="s">
        <v>294</v>
      </c>
      <c r="B189" t="s">
        <v>295</v>
      </c>
      <c r="C189" t="s">
        <v>252</v>
      </c>
      <c r="D189" t="s">
        <v>336</v>
      </c>
      <c r="F189">
        <v>228451141</v>
      </c>
      <c r="G189">
        <v>216177650</v>
      </c>
      <c r="H189" s="3">
        <v>0.94627499999999998</v>
      </c>
      <c r="I189">
        <v>121804055</v>
      </c>
      <c r="J189" s="3">
        <v>0.53317300000000001</v>
      </c>
      <c r="K189">
        <v>106647086</v>
      </c>
      <c r="L189" s="3">
        <v>0.46682699999999999</v>
      </c>
      <c r="M189">
        <v>0</v>
      </c>
      <c r="N189" s="3">
        <v>0</v>
      </c>
      <c r="O189">
        <v>0</v>
      </c>
      <c r="P189" s="3">
        <v>1</v>
      </c>
      <c r="Q189">
        <v>216177355</v>
      </c>
      <c r="R189" s="3">
        <v>0.94627399999999995</v>
      </c>
      <c r="S189">
        <v>114888888</v>
      </c>
      <c r="T189">
        <v>113562253</v>
      </c>
      <c r="U189">
        <v>295</v>
      </c>
      <c r="V189" s="3">
        <v>1.2913E-6</v>
      </c>
      <c r="W189">
        <v>876598</v>
      </c>
      <c r="X189">
        <v>155</v>
      </c>
    </row>
    <row r="190" spans="1:24" x14ac:dyDescent="0.3">
      <c r="A190" t="s">
        <v>294</v>
      </c>
      <c r="B190" t="s">
        <v>295</v>
      </c>
      <c r="C190" t="s">
        <v>252</v>
      </c>
      <c r="D190" t="s">
        <v>333</v>
      </c>
      <c r="F190">
        <v>224357165</v>
      </c>
      <c r="G190">
        <v>212264821</v>
      </c>
      <c r="H190" s="3">
        <v>0.946102</v>
      </c>
      <c r="I190">
        <v>119522740</v>
      </c>
      <c r="J190" s="3">
        <v>0.53273400000000004</v>
      </c>
      <c r="K190">
        <v>104834425</v>
      </c>
      <c r="L190" s="3">
        <v>0.46726600000000001</v>
      </c>
      <c r="M190">
        <v>0</v>
      </c>
      <c r="N190" s="3">
        <v>0</v>
      </c>
      <c r="O190">
        <v>0</v>
      </c>
      <c r="P190" s="3">
        <v>1</v>
      </c>
      <c r="Q190">
        <v>212264620</v>
      </c>
      <c r="R190" s="3">
        <v>0.94610099999999997</v>
      </c>
      <c r="S190">
        <v>112478515</v>
      </c>
      <c r="T190">
        <v>111878650</v>
      </c>
      <c r="U190">
        <v>201</v>
      </c>
      <c r="V190" s="12">
        <v>8.9589299999999999E-7</v>
      </c>
      <c r="W190">
        <v>817485</v>
      </c>
      <c r="X190">
        <v>155</v>
      </c>
    </row>
    <row r="191" spans="1:24" x14ac:dyDescent="0.3">
      <c r="A191" t="s">
        <v>294</v>
      </c>
      <c r="B191" t="s">
        <v>295</v>
      </c>
      <c r="C191" t="s">
        <v>252</v>
      </c>
      <c r="D191" t="s">
        <v>356</v>
      </c>
      <c r="F191">
        <v>215054577</v>
      </c>
      <c r="G191">
        <v>203206228</v>
      </c>
      <c r="H191" s="3">
        <v>0.94490499999999999</v>
      </c>
      <c r="I191">
        <v>114905772</v>
      </c>
      <c r="J191" s="3">
        <v>0.53430999999999995</v>
      </c>
      <c r="K191">
        <v>100148805</v>
      </c>
      <c r="L191" s="3">
        <v>0.46568999999999999</v>
      </c>
      <c r="M191">
        <v>0</v>
      </c>
      <c r="N191" s="3">
        <v>0</v>
      </c>
      <c r="O191">
        <v>0</v>
      </c>
      <c r="P191" s="11">
        <v>1</v>
      </c>
      <c r="Q191">
        <v>203205934</v>
      </c>
      <c r="R191" s="3">
        <v>0.94490399999999997</v>
      </c>
      <c r="S191">
        <v>108085140</v>
      </c>
      <c r="T191">
        <v>106969437</v>
      </c>
      <c r="U191">
        <v>294</v>
      </c>
      <c r="V191" s="3">
        <v>1.3670899999999999E-6</v>
      </c>
      <c r="W191">
        <v>864843</v>
      </c>
      <c r="X191">
        <v>158</v>
      </c>
    </row>
    <row r="192" spans="1:24" x14ac:dyDescent="0.3">
      <c r="A192" t="s">
        <v>294</v>
      </c>
      <c r="B192" t="s">
        <v>295</v>
      </c>
      <c r="C192" t="s">
        <v>252</v>
      </c>
      <c r="D192" t="s">
        <v>339</v>
      </c>
      <c r="F192">
        <v>223998225</v>
      </c>
      <c r="G192">
        <v>211417459</v>
      </c>
      <c r="H192" s="3">
        <v>0.94383499999999998</v>
      </c>
      <c r="I192">
        <v>119804372</v>
      </c>
      <c r="J192" s="3">
        <v>0.53484500000000001</v>
      </c>
      <c r="K192">
        <v>104193853</v>
      </c>
      <c r="L192" s="3">
        <v>0.46515499999999999</v>
      </c>
      <c r="M192">
        <v>0</v>
      </c>
      <c r="N192" s="3">
        <v>0</v>
      </c>
      <c r="O192">
        <v>0</v>
      </c>
      <c r="P192" s="3">
        <v>1</v>
      </c>
      <c r="Q192">
        <v>211417256</v>
      </c>
      <c r="R192" s="3">
        <v>0.94383399999999995</v>
      </c>
      <c r="S192">
        <v>112259221</v>
      </c>
      <c r="T192">
        <v>111739004</v>
      </c>
      <c r="U192">
        <v>203</v>
      </c>
      <c r="V192" s="12">
        <v>9.0625699999999999E-7</v>
      </c>
      <c r="W192">
        <v>852199</v>
      </c>
      <c r="X192">
        <v>161</v>
      </c>
    </row>
    <row r="193" spans="1:24" x14ac:dyDescent="0.3">
      <c r="A193" t="s">
        <v>294</v>
      </c>
      <c r="B193" t="s">
        <v>295</v>
      </c>
      <c r="C193" t="s">
        <v>252</v>
      </c>
      <c r="D193" t="s">
        <v>354</v>
      </c>
      <c r="F193">
        <v>246795404</v>
      </c>
      <c r="G193">
        <v>232752045</v>
      </c>
      <c r="H193" s="3">
        <v>0.94309699999999996</v>
      </c>
      <c r="I193">
        <v>132201138</v>
      </c>
      <c r="J193" s="3">
        <v>0.53567100000000001</v>
      </c>
      <c r="K193">
        <v>114594266</v>
      </c>
      <c r="L193" s="3">
        <v>0.46432899999999999</v>
      </c>
      <c r="M193">
        <v>0</v>
      </c>
      <c r="N193" s="3">
        <v>0</v>
      </c>
      <c r="O193">
        <v>0</v>
      </c>
      <c r="P193" s="11">
        <v>1</v>
      </c>
      <c r="Q193">
        <v>232751801</v>
      </c>
      <c r="R193" s="3">
        <v>0.94309600000000005</v>
      </c>
      <c r="S193">
        <v>123888046</v>
      </c>
      <c r="T193">
        <v>122907358</v>
      </c>
      <c r="U193">
        <v>244</v>
      </c>
      <c r="V193" s="12">
        <v>9.8867300000000005E-7</v>
      </c>
      <c r="W193">
        <v>830029</v>
      </c>
      <c r="X193">
        <v>159</v>
      </c>
    </row>
    <row r="194" spans="1:24" x14ac:dyDescent="0.3">
      <c r="A194" t="s">
        <v>294</v>
      </c>
      <c r="B194" t="s">
        <v>295</v>
      </c>
      <c r="C194" t="s">
        <v>252</v>
      </c>
      <c r="D194" t="s">
        <v>322</v>
      </c>
      <c r="F194">
        <v>141662729</v>
      </c>
      <c r="G194">
        <v>133525133</v>
      </c>
      <c r="H194" s="3">
        <v>0.94255699999999998</v>
      </c>
      <c r="I194">
        <v>75854428</v>
      </c>
      <c r="J194" s="3">
        <v>0.53545799999999999</v>
      </c>
      <c r="K194">
        <v>65808301</v>
      </c>
      <c r="L194" s="3">
        <v>0.46454200000000001</v>
      </c>
      <c r="M194">
        <v>0</v>
      </c>
      <c r="N194" s="3">
        <v>0</v>
      </c>
      <c r="O194">
        <v>0</v>
      </c>
      <c r="P194" s="3">
        <v>1</v>
      </c>
      <c r="Q194">
        <v>133525015</v>
      </c>
      <c r="R194" s="3">
        <v>0.94255599999999995</v>
      </c>
      <c r="S194">
        <v>71071478</v>
      </c>
      <c r="T194">
        <v>70591251</v>
      </c>
      <c r="U194">
        <v>118</v>
      </c>
      <c r="V194" s="12">
        <v>8.3296399999999997E-7</v>
      </c>
      <c r="W194">
        <v>824000</v>
      </c>
      <c r="X194">
        <v>153</v>
      </c>
    </row>
    <row r="195" spans="1:24" x14ac:dyDescent="0.3">
      <c r="A195" t="s">
        <v>294</v>
      </c>
      <c r="B195" t="s">
        <v>295</v>
      </c>
      <c r="C195" t="s">
        <v>252</v>
      </c>
      <c r="D195" t="s">
        <v>351</v>
      </c>
      <c r="F195">
        <v>241947588</v>
      </c>
      <c r="G195">
        <v>228046287</v>
      </c>
      <c r="H195" s="3">
        <v>0.94254400000000005</v>
      </c>
      <c r="I195">
        <v>129501204</v>
      </c>
      <c r="J195" s="3">
        <v>0.53524499999999997</v>
      </c>
      <c r="K195">
        <v>112446384</v>
      </c>
      <c r="L195" s="3">
        <v>0.46475499999999997</v>
      </c>
      <c r="M195">
        <v>0</v>
      </c>
      <c r="N195" s="3">
        <v>0</v>
      </c>
      <c r="O195">
        <v>0</v>
      </c>
      <c r="P195" s="11">
        <v>1</v>
      </c>
      <c r="Q195">
        <v>228046166</v>
      </c>
      <c r="R195" s="3">
        <v>0.94254400000000005</v>
      </c>
      <c r="S195">
        <v>120955083</v>
      </c>
      <c r="T195">
        <v>120992505</v>
      </c>
      <c r="U195">
        <v>121</v>
      </c>
      <c r="V195" s="12">
        <v>5.0010799999999999E-7</v>
      </c>
      <c r="W195">
        <v>821929</v>
      </c>
      <c r="X195">
        <v>159</v>
      </c>
    </row>
    <row r="196" spans="1:24" x14ac:dyDescent="0.3">
      <c r="A196" t="s">
        <v>294</v>
      </c>
      <c r="B196" t="s">
        <v>295</v>
      </c>
      <c r="C196" t="s">
        <v>252</v>
      </c>
      <c r="D196" t="s">
        <v>338</v>
      </c>
      <c r="F196">
        <v>96804608</v>
      </c>
      <c r="G196">
        <v>91210081</v>
      </c>
      <c r="H196" s="3">
        <v>0.94220800000000005</v>
      </c>
      <c r="I196">
        <v>51923431</v>
      </c>
      <c r="J196" s="3">
        <v>0.53637400000000002</v>
      </c>
      <c r="K196">
        <v>44881177</v>
      </c>
      <c r="L196" s="3">
        <v>0.46362599999999998</v>
      </c>
      <c r="M196">
        <v>0</v>
      </c>
      <c r="N196" s="3">
        <v>0</v>
      </c>
      <c r="O196">
        <v>0</v>
      </c>
      <c r="P196" s="3">
        <v>1</v>
      </c>
      <c r="Q196">
        <v>91209942</v>
      </c>
      <c r="R196" s="3">
        <v>0.94220700000000002</v>
      </c>
      <c r="S196">
        <v>48587503</v>
      </c>
      <c r="T196">
        <v>48217105</v>
      </c>
      <c r="U196">
        <v>139</v>
      </c>
      <c r="V196" s="3">
        <v>1.43588E-6</v>
      </c>
      <c r="W196">
        <v>815513</v>
      </c>
      <c r="X196">
        <v>155</v>
      </c>
    </row>
    <row r="197" spans="1:24" x14ac:dyDescent="0.3">
      <c r="A197" t="s">
        <v>294</v>
      </c>
      <c r="B197" t="s">
        <v>295</v>
      </c>
      <c r="C197" t="s">
        <v>252</v>
      </c>
      <c r="D197" t="s">
        <v>318</v>
      </c>
      <c r="F197">
        <v>243754347</v>
      </c>
      <c r="G197">
        <v>229617439</v>
      </c>
      <c r="H197" s="3">
        <v>0.94200300000000003</v>
      </c>
      <c r="I197">
        <v>130479511</v>
      </c>
      <c r="J197" s="3">
        <v>0.53529099999999996</v>
      </c>
      <c r="K197">
        <v>113274836</v>
      </c>
      <c r="L197" s="3">
        <v>0.46470899999999998</v>
      </c>
      <c r="M197">
        <v>0</v>
      </c>
      <c r="N197" s="3">
        <v>0</v>
      </c>
      <c r="O197">
        <v>0</v>
      </c>
      <c r="P197" s="3">
        <v>1</v>
      </c>
      <c r="Q197">
        <v>229617192</v>
      </c>
      <c r="R197" s="3">
        <v>0.94200200000000001</v>
      </c>
      <c r="S197">
        <v>122192113</v>
      </c>
      <c r="T197">
        <v>121562234</v>
      </c>
      <c r="U197">
        <v>247</v>
      </c>
      <c r="V197" s="3">
        <v>1.01332E-6</v>
      </c>
      <c r="W197">
        <v>863780</v>
      </c>
      <c r="X197">
        <v>157</v>
      </c>
    </row>
    <row r="198" spans="1:24" x14ac:dyDescent="0.3">
      <c r="A198" t="s">
        <v>294</v>
      </c>
      <c r="B198" t="s">
        <v>295</v>
      </c>
      <c r="C198" t="s">
        <v>252</v>
      </c>
      <c r="D198" t="s">
        <v>320</v>
      </c>
      <c r="F198">
        <v>85903097</v>
      </c>
      <c r="G198">
        <v>80919628</v>
      </c>
      <c r="H198" s="3">
        <v>0.94198700000000002</v>
      </c>
      <c r="I198">
        <v>46039130</v>
      </c>
      <c r="J198" s="3">
        <v>0.53594299999999995</v>
      </c>
      <c r="K198">
        <v>39863967</v>
      </c>
      <c r="L198" s="3">
        <v>0.464057</v>
      </c>
      <c r="M198">
        <v>0</v>
      </c>
      <c r="N198" s="3">
        <v>0</v>
      </c>
      <c r="O198">
        <v>0</v>
      </c>
      <c r="P198" s="3">
        <v>1</v>
      </c>
      <c r="Q198">
        <v>80919543</v>
      </c>
      <c r="R198" s="3">
        <v>0.94198599999999999</v>
      </c>
      <c r="S198">
        <v>43136955</v>
      </c>
      <c r="T198">
        <v>42766142</v>
      </c>
      <c r="U198">
        <v>85</v>
      </c>
      <c r="V198" s="12">
        <v>9.8948700000000008E-7</v>
      </c>
      <c r="W198">
        <v>804177</v>
      </c>
      <c r="X198">
        <v>158</v>
      </c>
    </row>
    <row r="199" spans="1:24" x14ac:dyDescent="0.3">
      <c r="A199" t="s">
        <v>294</v>
      </c>
      <c r="B199" t="s">
        <v>295</v>
      </c>
      <c r="C199" t="s">
        <v>252</v>
      </c>
      <c r="D199" t="s">
        <v>332</v>
      </c>
      <c r="F199">
        <v>23783887</v>
      </c>
      <c r="G199">
        <v>22398942</v>
      </c>
      <c r="H199" s="3">
        <v>0.94177</v>
      </c>
      <c r="I199">
        <v>12753984</v>
      </c>
      <c r="J199" s="3">
        <v>0.53624499999999997</v>
      </c>
      <c r="K199">
        <v>11029903</v>
      </c>
      <c r="L199" s="3">
        <v>0.46375499999999997</v>
      </c>
      <c r="M199">
        <v>0</v>
      </c>
      <c r="N199" s="3">
        <v>0</v>
      </c>
      <c r="O199">
        <v>0</v>
      </c>
      <c r="P199" s="3">
        <v>1</v>
      </c>
      <c r="Q199">
        <v>22398919</v>
      </c>
      <c r="R199" s="3">
        <v>0.94176899999999997</v>
      </c>
      <c r="S199">
        <v>11932439</v>
      </c>
      <c r="T199">
        <v>11851448</v>
      </c>
      <c r="U199">
        <v>23</v>
      </c>
      <c r="V199" s="12">
        <v>9.6704100000000009E-7</v>
      </c>
      <c r="W199">
        <v>816535</v>
      </c>
      <c r="X199">
        <v>160</v>
      </c>
    </row>
    <row r="200" spans="1:24" x14ac:dyDescent="0.3">
      <c r="A200" t="s">
        <v>294</v>
      </c>
      <c r="B200" t="s">
        <v>295</v>
      </c>
      <c r="C200" t="s">
        <v>252</v>
      </c>
      <c r="D200" t="s">
        <v>348</v>
      </c>
      <c r="F200">
        <v>16136192</v>
      </c>
      <c r="G200">
        <v>15192820</v>
      </c>
      <c r="H200" s="3">
        <v>0.94153699999999996</v>
      </c>
      <c r="I200">
        <v>8655638</v>
      </c>
      <c r="J200" s="3">
        <v>0.53641099999999997</v>
      </c>
      <c r="K200">
        <v>7480554</v>
      </c>
      <c r="L200" s="3">
        <v>0.46358899999999997</v>
      </c>
      <c r="M200">
        <v>0</v>
      </c>
      <c r="N200" s="3">
        <v>0</v>
      </c>
      <c r="O200">
        <v>0</v>
      </c>
      <c r="P200" s="11">
        <v>1</v>
      </c>
      <c r="Q200">
        <v>15192813</v>
      </c>
      <c r="R200" s="3">
        <v>0.94153600000000004</v>
      </c>
      <c r="S200">
        <v>8096900</v>
      </c>
      <c r="T200">
        <v>8039292</v>
      </c>
      <c r="U200">
        <v>7</v>
      </c>
      <c r="V200" s="12">
        <v>4.3380700000000001E-7</v>
      </c>
      <c r="W200">
        <v>814900</v>
      </c>
      <c r="X200">
        <v>158</v>
      </c>
    </row>
    <row r="201" spans="1:24" x14ac:dyDescent="0.3">
      <c r="A201" t="s">
        <v>294</v>
      </c>
      <c r="B201" t="s">
        <v>295</v>
      </c>
      <c r="C201" t="s">
        <v>252</v>
      </c>
      <c r="D201" t="s">
        <v>358</v>
      </c>
      <c r="F201">
        <v>237750918</v>
      </c>
      <c r="G201">
        <v>223770821</v>
      </c>
      <c r="H201" s="3">
        <v>0.94119900000000001</v>
      </c>
      <c r="I201">
        <v>127529040</v>
      </c>
      <c r="J201" s="3">
        <v>0.53639800000000004</v>
      </c>
      <c r="K201">
        <v>110221878</v>
      </c>
      <c r="L201" s="3">
        <v>0.46360200000000001</v>
      </c>
      <c r="M201">
        <v>0</v>
      </c>
      <c r="N201" s="3">
        <v>0</v>
      </c>
      <c r="O201">
        <v>0</v>
      </c>
      <c r="P201" s="11">
        <v>1</v>
      </c>
      <c r="Q201">
        <v>223770690</v>
      </c>
      <c r="R201" s="3">
        <v>0.94119799999999998</v>
      </c>
      <c r="S201">
        <v>119172593</v>
      </c>
      <c r="T201">
        <v>118578325</v>
      </c>
      <c r="U201">
        <v>131</v>
      </c>
      <c r="V201" s="12">
        <v>5.5099700000000002E-7</v>
      </c>
      <c r="W201">
        <v>832036</v>
      </c>
      <c r="X201">
        <v>161</v>
      </c>
    </row>
    <row r="202" spans="1:24" x14ac:dyDescent="0.3">
      <c r="A202" t="s">
        <v>294</v>
      </c>
      <c r="B202" t="s">
        <v>295</v>
      </c>
      <c r="C202" t="s">
        <v>252</v>
      </c>
      <c r="D202" t="s">
        <v>334</v>
      </c>
      <c r="F202">
        <v>104967136</v>
      </c>
      <c r="G202">
        <v>98735754</v>
      </c>
      <c r="H202" s="3">
        <v>0.940635</v>
      </c>
      <c r="I202">
        <v>56358395</v>
      </c>
      <c r="J202" s="3">
        <v>0.53691500000000003</v>
      </c>
      <c r="K202">
        <v>48608741</v>
      </c>
      <c r="L202" s="3">
        <v>0.46308500000000002</v>
      </c>
      <c r="M202">
        <v>0</v>
      </c>
      <c r="N202" s="3">
        <v>0</v>
      </c>
      <c r="O202">
        <v>0</v>
      </c>
      <c r="P202" s="3">
        <v>1</v>
      </c>
      <c r="Q202">
        <v>98735668</v>
      </c>
      <c r="R202" s="3">
        <v>0.94063399999999997</v>
      </c>
      <c r="S202">
        <v>52621711</v>
      </c>
      <c r="T202">
        <v>52345425</v>
      </c>
      <c r="U202">
        <v>86</v>
      </c>
      <c r="V202" s="12">
        <v>8.1930400000000004E-7</v>
      </c>
      <c r="W202">
        <v>808806</v>
      </c>
      <c r="X202">
        <v>160</v>
      </c>
    </row>
    <row r="203" spans="1:24" x14ac:dyDescent="0.3">
      <c r="A203" t="s">
        <v>294</v>
      </c>
      <c r="B203" t="s">
        <v>295</v>
      </c>
      <c r="C203" t="s">
        <v>252</v>
      </c>
      <c r="D203" t="s">
        <v>315</v>
      </c>
      <c r="F203">
        <v>138912238</v>
      </c>
      <c r="G203">
        <v>130607725</v>
      </c>
      <c r="H203" s="3">
        <v>0.940218</v>
      </c>
      <c r="I203">
        <v>74604209</v>
      </c>
      <c r="J203" s="3">
        <v>0.53705999999999998</v>
      </c>
      <c r="K203">
        <v>64308029</v>
      </c>
      <c r="L203" s="3">
        <v>0.46294000000000002</v>
      </c>
      <c r="M203">
        <v>0</v>
      </c>
      <c r="N203" s="3">
        <v>0</v>
      </c>
      <c r="O203">
        <v>0</v>
      </c>
      <c r="P203" s="3">
        <v>1</v>
      </c>
      <c r="Q203">
        <v>130607516</v>
      </c>
      <c r="R203" s="3">
        <v>0.94021600000000005</v>
      </c>
      <c r="S203">
        <v>69794671</v>
      </c>
      <c r="T203">
        <v>69117567</v>
      </c>
      <c r="U203">
        <v>209</v>
      </c>
      <c r="V203" s="3">
        <v>1.5045500000000001E-6</v>
      </c>
      <c r="W203">
        <v>784627</v>
      </c>
      <c r="X203">
        <v>156</v>
      </c>
    </row>
    <row r="204" spans="1:24" x14ac:dyDescent="0.3">
      <c r="A204" t="s">
        <v>294</v>
      </c>
      <c r="B204" t="s">
        <v>295</v>
      </c>
      <c r="C204" t="s">
        <v>252</v>
      </c>
      <c r="D204" t="s">
        <v>319</v>
      </c>
      <c r="F204">
        <v>241948303</v>
      </c>
      <c r="G204">
        <v>227342928</v>
      </c>
      <c r="H204" s="3">
        <v>0.93963399999999997</v>
      </c>
      <c r="I204">
        <v>130005973</v>
      </c>
      <c r="J204" s="3">
        <v>0.53732999999999997</v>
      </c>
      <c r="K204">
        <v>111942330</v>
      </c>
      <c r="L204" s="3">
        <v>0.46267000000000003</v>
      </c>
      <c r="M204">
        <v>0</v>
      </c>
      <c r="N204" s="3">
        <v>0</v>
      </c>
      <c r="O204">
        <v>0</v>
      </c>
      <c r="P204" s="3">
        <v>1</v>
      </c>
      <c r="Q204">
        <v>227342724</v>
      </c>
      <c r="R204" s="3">
        <v>0.93963300000000005</v>
      </c>
      <c r="S204">
        <v>121331949</v>
      </c>
      <c r="T204">
        <v>120616354</v>
      </c>
      <c r="U204">
        <v>204</v>
      </c>
      <c r="V204" s="12">
        <v>8.4315499999999996E-7</v>
      </c>
      <c r="W204">
        <v>809815</v>
      </c>
      <c r="X204">
        <v>155</v>
      </c>
    </row>
    <row r="205" spans="1:24" x14ac:dyDescent="0.3">
      <c r="A205" t="s">
        <v>294</v>
      </c>
      <c r="B205" t="s">
        <v>295</v>
      </c>
      <c r="C205" t="s">
        <v>252</v>
      </c>
      <c r="D205" t="s">
        <v>321</v>
      </c>
      <c r="F205">
        <v>225342046</v>
      </c>
      <c r="G205">
        <v>211734108</v>
      </c>
      <c r="H205" s="3">
        <v>0.939612</v>
      </c>
      <c r="I205">
        <v>121082801</v>
      </c>
      <c r="J205" s="3">
        <v>0.53732899999999995</v>
      </c>
      <c r="K205">
        <v>104259245</v>
      </c>
      <c r="L205" s="3">
        <v>0.462671</v>
      </c>
      <c r="M205">
        <v>0</v>
      </c>
      <c r="N205" s="3">
        <v>0</v>
      </c>
      <c r="O205">
        <v>0</v>
      </c>
      <c r="P205" s="3">
        <v>1</v>
      </c>
      <c r="Q205">
        <v>211733918</v>
      </c>
      <c r="R205" s="3">
        <v>0.93961099999999997</v>
      </c>
      <c r="S205">
        <v>113032189</v>
      </c>
      <c r="T205">
        <v>112309857</v>
      </c>
      <c r="U205">
        <v>190</v>
      </c>
      <c r="V205" s="12">
        <v>8.4316299999999996E-7</v>
      </c>
      <c r="W205">
        <v>792523</v>
      </c>
      <c r="X205">
        <v>153</v>
      </c>
    </row>
    <row r="206" spans="1:24" x14ac:dyDescent="0.3">
      <c r="A206" t="s">
        <v>294</v>
      </c>
      <c r="B206" t="s">
        <v>295</v>
      </c>
      <c r="C206" t="s">
        <v>252</v>
      </c>
      <c r="D206" t="s">
        <v>357</v>
      </c>
      <c r="F206">
        <v>211798146</v>
      </c>
      <c r="G206">
        <v>198969436</v>
      </c>
      <c r="H206" s="3">
        <v>0.93942999999999999</v>
      </c>
      <c r="I206">
        <v>113833720</v>
      </c>
      <c r="J206" s="3">
        <v>0.53746300000000002</v>
      </c>
      <c r="K206">
        <v>97964426</v>
      </c>
      <c r="L206" s="3">
        <v>0.46253699999999998</v>
      </c>
      <c r="M206">
        <v>0</v>
      </c>
      <c r="N206" s="3">
        <v>0</v>
      </c>
      <c r="O206">
        <v>0</v>
      </c>
      <c r="P206" s="11">
        <v>1</v>
      </c>
      <c r="Q206">
        <v>198969303</v>
      </c>
      <c r="R206" s="3">
        <v>0.93942899999999996</v>
      </c>
      <c r="S206">
        <v>106133931</v>
      </c>
      <c r="T206">
        <v>105664215</v>
      </c>
      <c r="U206">
        <v>133</v>
      </c>
      <c r="V206" s="12">
        <v>6.2795600000000001E-7</v>
      </c>
      <c r="W206">
        <v>817611</v>
      </c>
      <c r="X206">
        <v>158</v>
      </c>
    </row>
    <row r="207" spans="1:24" x14ac:dyDescent="0.3">
      <c r="A207" t="s">
        <v>294</v>
      </c>
      <c r="B207" t="s">
        <v>295</v>
      </c>
      <c r="C207" t="s">
        <v>252</v>
      </c>
      <c r="D207" t="s">
        <v>350</v>
      </c>
      <c r="F207">
        <v>176390177</v>
      </c>
      <c r="G207">
        <v>165700000</v>
      </c>
      <c r="H207" s="3">
        <v>0.93939499999999998</v>
      </c>
      <c r="I207">
        <v>94805211</v>
      </c>
      <c r="J207" s="3">
        <v>0.53747400000000001</v>
      </c>
      <c r="K207">
        <v>81584966</v>
      </c>
      <c r="L207" s="3">
        <v>0.46252599999999999</v>
      </c>
      <c r="M207">
        <v>0</v>
      </c>
      <c r="N207" s="3">
        <v>0</v>
      </c>
      <c r="O207">
        <v>0</v>
      </c>
      <c r="P207" s="11">
        <v>1</v>
      </c>
      <c r="Q207">
        <v>165699904</v>
      </c>
      <c r="R207" s="3">
        <v>0.93939399999999995</v>
      </c>
      <c r="S207">
        <v>88349303</v>
      </c>
      <c r="T207">
        <v>88040874</v>
      </c>
      <c r="U207">
        <v>96</v>
      </c>
      <c r="V207" s="12">
        <v>5.4424799999999996E-7</v>
      </c>
      <c r="W207">
        <v>787524</v>
      </c>
      <c r="X207">
        <v>157</v>
      </c>
    </row>
    <row r="208" spans="1:24" x14ac:dyDescent="0.3">
      <c r="A208" t="s">
        <v>294</v>
      </c>
      <c r="B208" t="s">
        <v>295</v>
      </c>
      <c r="C208" t="s">
        <v>252</v>
      </c>
      <c r="D208" t="s">
        <v>335</v>
      </c>
      <c r="F208">
        <v>193666415</v>
      </c>
      <c r="G208">
        <v>181826260</v>
      </c>
      <c r="H208" s="3">
        <v>0.938863</v>
      </c>
      <c r="I208">
        <v>104107254</v>
      </c>
      <c r="J208" s="3">
        <v>0.53756000000000004</v>
      </c>
      <c r="K208">
        <v>89559161</v>
      </c>
      <c r="L208" s="3">
        <v>0.46244000000000002</v>
      </c>
      <c r="M208">
        <v>0</v>
      </c>
      <c r="N208" s="3">
        <v>0</v>
      </c>
      <c r="O208">
        <v>0</v>
      </c>
      <c r="P208" s="3">
        <v>1</v>
      </c>
      <c r="Q208">
        <v>181826147</v>
      </c>
      <c r="R208" s="3">
        <v>0.938863</v>
      </c>
      <c r="S208">
        <v>96939114</v>
      </c>
      <c r="T208">
        <v>96727301</v>
      </c>
      <c r="U208">
        <v>113</v>
      </c>
      <c r="V208" s="12">
        <v>5.8347800000000003E-7</v>
      </c>
      <c r="W208">
        <v>785255</v>
      </c>
      <c r="X208">
        <v>160</v>
      </c>
    </row>
    <row r="209" spans="1:24" x14ac:dyDescent="0.3">
      <c r="A209" t="s">
        <v>294</v>
      </c>
      <c r="B209" t="s">
        <v>295</v>
      </c>
      <c r="C209" t="s">
        <v>252</v>
      </c>
      <c r="D209" t="s">
        <v>331</v>
      </c>
      <c r="F209">
        <v>191021787</v>
      </c>
      <c r="G209">
        <v>179288052</v>
      </c>
      <c r="H209" s="3">
        <v>0.93857400000000002</v>
      </c>
      <c r="I209">
        <v>102661949</v>
      </c>
      <c r="J209" s="3">
        <v>0.53743600000000002</v>
      </c>
      <c r="K209">
        <v>88359838</v>
      </c>
      <c r="L209" s="3">
        <v>0.46256399999999998</v>
      </c>
      <c r="M209">
        <v>0</v>
      </c>
      <c r="N209" s="3">
        <v>0</v>
      </c>
      <c r="O209">
        <v>0</v>
      </c>
      <c r="P209" s="3">
        <v>1</v>
      </c>
      <c r="Q209">
        <v>179287906</v>
      </c>
      <c r="R209" s="3">
        <v>0.93857299999999999</v>
      </c>
      <c r="S209">
        <v>95680172</v>
      </c>
      <c r="T209">
        <v>95341615</v>
      </c>
      <c r="U209">
        <v>146</v>
      </c>
      <c r="V209" s="12">
        <v>7.6431100000000002E-7</v>
      </c>
      <c r="W209">
        <v>789390</v>
      </c>
      <c r="X209">
        <v>160</v>
      </c>
    </row>
    <row r="210" spans="1:24" x14ac:dyDescent="0.3">
      <c r="A210" t="s">
        <v>294</v>
      </c>
      <c r="B210" t="s">
        <v>295</v>
      </c>
      <c r="C210" t="s">
        <v>252</v>
      </c>
      <c r="D210" t="s">
        <v>327</v>
      </c>
      <c r="F210">
        <v>188363385</v>
      </c>
      <c r="G210">
        <v>176788120</v>
      </c>
      <c r="H210" s="3">
        <v>0.93854800000000005</v>
      </c>
      <c r="I210">
        <v>101318358</v>
      </c>
      <c r="J210" s="3">
        <v>0.53788800000000003</v>
      </c>
      <c r="K210">
        <v>87045027</v>
      </c>
      <c r="L210" s="3">
        <v>0.46211200000000002</v>
      </c>
      <c r="M210">
        <v>0</v>
      </c>
      <c r="N210" s="3">
        <v>0</v>
      </c>
      <c r="O210">
        <v>0</v>
      </c>
      <c r="P210" s="3">
        <v>1</v>
      </c>
      <c r="Q210">
        <v>176787938</v>
      </c>
      <c r="R210" s="3">
        <v>0.93854700000000002</v>
      </c>
      <c r="S210">
        <v>94347147</v>
      </c>
      <c r="T210">
        <v>94016238</v>
      </c>
      <c r="U210">
        <v>182</v>
      </c>
      <c r="V210" s="12">
        <v>9.66217E-7</v>
      </c>
      <c r="W210">
        <v>761983</v>
      </c>
      <c r="X210">
        <v>153</v>
      </c>
    </row>
    <row r="211" spans="1:24" x14ac:dyDescent="0.3">
      <c r="A211" t="s">
        <v>294</v>
      </c>
      <c r="B211" t="s">
        <v>295</v>
      </c>
      <c r="C211" t="s">
        <v>252</v>
      </c>
      <c r="D211" t="s">
        <v>330</v>
      </c>
      <c r="F211">
        <v>94929421</v>
      </c>
      <c r="G211">
        <v>89020463</v>
      </c>
      <c r="H211" s="3">
        <v>0.93775399999999998</v>
      </c>
      <c r="I211">
        <v>51130886</v>
      </c>
      <c r="J211" s="3">
        <v>0.53861999999999999</v>
      </c>
      <c r="K211">
        <v>43798535</v>
      </c>
      <c r="L211" s="3">
        <v>0.46138000000000001</v>
      </c>
      <c r="M211">
        <v>0</v>
      </c>
      <c r="N211" s="3">
        <v>0</v>
      </c>
      <c r="O211">
        <v>0</v>
      </c>
      <c r="P211" s="3">
        <v>1</v>
      </c>
      <c r="Q211">
        <v>89020404</v>
      </c>
      <c r="R211" s="3">
        <v>0.93775399999999998</v>
      </c>
      <c r="S211">
        <v>47644885</v>
      </c>
      <c r="T211">
        <v>47284536</v>
      </c>
      <c r="U211">
        <v>59</v>
      </c>
      <c r="V211" s="12">
        <v>6.2151399999999996E-7</v>
      </c>
      <c r="W211">
        <v>771712</v>
      </c>
      <c r="X211">
        <v>158</v>
      </c>
    </row>
    <row r="212" spans="1:24" x14ac:dyDescent="0.3">
      <c r="A212" t="s">
        <v>294</v>
      </c>
      <c r="B212" t="s">
        <v>295</v>
      </c>
      <c r="C212" t="s">
        <v>252</v>
      </c>
      <c r="D212" t="s">
        <v>329</v>
      </c>
      <c r="F212">
        <v>230047352</v>
      </c>
      <c r="G212">
        <v>215629920</v>
      </c>
      <c r="H212" s="3">
        <v>0.93732800000000005</v>
      </c>
      <c r="I212">
        <v>123870707</v>
      </c>
      <c r="J212" s="3">
        <v>0.53845699999999996</v>
      </c>
      <c r="K212">
        <v>106176645</v>
      </c>
      <c r="L212" s="3">
        <v>0.46154299999999998</v>
      </c>
      <c r="M212">
        <v>0</v>
      </c>
      <c r="N212" s="3">
        <v>0</v>
      </c>
      <c r="O212">
        <v>0</v>
      </c>
      <c r="P212" s="3">
        <v>1</v>
      </c>
      <c r="Q212">
        <v>215629718</v>
      </c>
      <c r="R212" s="3">
        <v>0.93732700000000002</v>
      </c>
      <c r="S212">
        <v>115332149</v>
      </c>
      <c r="T212">
        <v>114715203</v>
      </c>
      <c r="U212">
        <v>202</v>
      </c>
      <c r="V212" s="12">
        <v>8.7807999999999999E-7</v>
      </c>
      <c r="W212">
        <v>754742</v>
      </c>
      <c r="X212">
        <v>159</v>
      </c>
    </row>
    <row r="213" spans="1:24" x14ac:dyDescent="0.3">
      <c r="A213" t="s">
        <v>294</v>
      </c>
      <c r="B213" t="s">
        <v>295</v>
      </c>
      <c r="C213" t="s">
        <v>252</v>
      </c>
      <c r="D213" t="s">
        <v>355</v>
      </c>
      <c r="F213">
        <v>209348848</v>
      </c>
      <c r="G213">
        <v>196226719</v>
      </c>
      <c r="H213" s="3">
        <v>0.93731900000000001</v>
      </c>
      <c r="I213">
        <v>112808705</v>
      </c>
      <c r="J213" s="3">
        <v>0.53885499999999997</v>
      </c>
      <c r="K213">
        <v>96540143</v>
      </c>
      <c r="L213" s="3">
        <v>0.46114500000000003</v>
      </c>
      <c r="M213">
        <v>0</v>
      </c>
      <c r="N213" s="3">
        <v>0</v>
      </c>
      <c r="O213">
        <v>0</v>
      </c>
      <c r="P213" s="11">
        <v>1</v>
      </c>
      <c r="Q213">
        <v>196226511</v>
      </c>
      <c r="R213" s="3">
        <v>0.93731799999999998</v>
      </c>
      <c r="S213">
        <v>104977347</v>
      </c>
      <c r="T213">
        <v>104371501</v>
      </c>
      <c r="U213">
        <v>208</v>
      </c>
      <c r="V213" s="12">
        <v>9.9355699999999998E-7</v>
      </c>
      <c r="W213">
        <v>772345</v>
      </c>
      <c r="X213">
        <v>159</v>
      </c>
    </row>
    <row r="214" spans="1:24" x14ac:dyDescent="0.3">
      <c r="A214" t="s">
        <v>294</v>
      </c>
      <c r="B214" t="s">
        <v>295</v>
      </c>
      <c r="C214" t="s">
        <v>252</v>
      </c>
      <c r="D214" t="s">
        <v>325</v>
      </c>
      <c r="F214">
        <v>54587442</v>
      </c>
      <c r="G214">
        <v>51154554</v>
      </c>
      <c r="H214" s="3">
        <v>0.93711199999999995</v>
      </c>
      <c r="I214">
        <v>29367535</v>
      </c>
      <c r="J214" s="3">
        <v>0.537991</v>
      </c>
      <c r="K214">
        <v>25219907</v>
      </c>
      <c r="L214" s="3">
        <v>0.462009</v>
      </c>
      <c r="M214">
        <v>0</v>
      </c>
      <c r="N214" s="3">
        <v>0</v>
      </c>
      <c r="O214">
        <v>0</v>
      </c>
      <c r="P214" s="3">
        <v>1</v>
      </c>
      <c r="Q214">
        <v>51154442</v>
      </c>
      <c r="R214" s="3">
        <v>0.93711</v>
      </c>
      <c r="S214">
        <v>27427846</v>
      </c>
      <c r="T214">
        <v>27159596</v>
      </c>
      <c r="U214">
        <v>112</v>
      </c>
      <c r="V214" s="3">
        <v>2.0517499999999999E-6</v>
      </c>
      <c r="W214">
        <v>785687</v>
      </c>
      <c r="X214">
        <v>161</v>
      </c>
    </row>
    <row r="215" spans="1:24" x14ac:dyDescent="0.3">
      <c r="A215" t="s">
        <v>294</v>
      </c>
      <c r="B215" t="s">
        <v>295</v>
      </c>
      <c r="C215" t="s">
        <v>252</v>
      </c>
      <c r="D215" t="s">
        <v>337</v>
      </c>
      <c r="F215">
        <v>174487075</v>
      </c>
      <c r="G215">
        <v>163484784</v>
      </c>
      <c r="H215" s="3">
        <v>0.93694500000000003</v>
      </c>
      <c r="I215">
        <v>93756890</v>
      </c>
      <c r="J215" s="3">
        <v>0.53732899999999995</v>
      </c>
      <c r="K215">
        <v>80730185</v>
      </c>
      <c r="L215" s="3">
        <v>0.462671</v>
      </c>
      <c r="M215">
        <v>0</v>
      </c>
      <c r="N215" s="3">
        <v>0</v>
      </c>
      <c r="O215">
        <v>0</v>
      </c>
      <c r="P215" s="3">
        <v>1</v>
      </c>
      <c r="Q215">
        <v>163484554</v>
      </c>
      <c r="R215" s="3">
        <v>0.936944</v>
      </c>
      <c r="S215">
        <v>87376002</v>
      </c>
      <c r="T215">
        <v>87111073</v>
      </c>
      <c r="U215">
        <v>230</v>
      </c>
      <c r="V215" s="3">
        <v>1.31815E-6</v>
      </c>
      <c r="W215">
        <v>721623</v>
      </c>
      <c r="X215">
        <v>164</v>
      </c>
    </row>
    <row r="216" spans="1:24" x14ac:dyDescent="0.3">
      <c r="A216" t="s">
        <v>294</v>
      </c>
      <c r="B216" t="s">
        <v>295</v>
      </c>
      <c r="C216" t="s">
        <v>252</v>
      </c>
      <c r="D216" t="s">
        <v>353</v>
      </c>
      <c r="F216">
        <v>189314110</v>
      </c>
      <c r="G216">
        <v>177184180</v>
      </c>
      <c r="H216" s="3">
        <v>0.93592699999999995</v>
      </c>
      <c r="I216">
        <v>102158750</v>
      </c>
      <c r="J216" s="3">
        <v>0.53962600000000005</v>
      </c>
      <c r="K216">
        <v>87155360</v>
      </c>
      <c r="L216" s="3">
        <v>0.46037400000000001</v>
      </c>
      <c r="M216">
        <v>0</v>
      </c>
      <c r="N216" s="3">
        <v>0</v>
      </c>
      <c r="O216">
        <v>0</v>
      </c>
      <c r="P216" s="11">
        <v>1</v>
      </c>
      <c r="Q216">
        <v>177184079</v>
      </c>
      <c r="R216" s="3">
        <v>0.93592600000000004</v>
      </c>
      <c r="S216">
        <v>94947462</v>
      </c>
      <c r="T216">
        <v>94366648</v>
      </c>
      <c r="U216">
        <v>101</v>
      </c>
      <c r="V216" s="12">
        <v>5.3350499999999999E-7</v>
      </c>
      <c r="W216">
        <v>755210</v>
      </c>
      <c r="X216">
        <v>154</v>
      </c>
    </row>
    <row r="217" spans="1:24" x14ac:dyDescent="0.3">
      <c r="A217" t="s">
        <v>294</v>
      </c>
      <c r="B217" t="s">
        <v>295</v>
      </c>
      <c r="C217" t="s">
        <v>252</v>
      </c>
      <c r="D217" t="s">
        <v>352</v>
      </c>
      <c r="F217">
        <v>199487147</v>
      </c>
      <c r="G217">
        <v>186338684</v>
      </c>
      <c r="H217" s="3">
        <v>0.93408899999999995</v>
      </c>
      <c r="I217">
        <v>107807542</v>
      </c>
      <c r="J217" s="3">
        <v>0.54042400000000002</v>
      </c>
      <c r="K217">
        <v>91679605</v>
      </c>
      <c r="L217" s="3">
        <v>0.45957700000000001</v>
      </c>
      <c r="M217">
        <v>0</v>
      </c>
      <c r="N217" s="3">
        <v>0</v>
      </c>
      <c r="O217">
        <v>0</v>
      </c>
      <c r="P217" s="11">
        <v>1</v>
      </c>
      <c r="Q217">
        <v>186338520</v>
      </c>
      <c r="R217" s="3">
        <v>0.93408800000000003</v>
      </c>
      <c r="S217">
        <v>99851212</v>
      </c>
      <c r="T217">
        <v>99635935</v>
      </c>
      <c r="U217">
        <v>164</v>
      </c>
      <c r="V217" s="12">
        <v>8.2210800000000005E-7</v>
      </c>
      <c r="W217">
        <v>741203</v>
      </c>
      <c r="X217">
        <v>155</v>
      </c>
    </row>
    <row r="218" spans="1:24" x14ac:dyDescent="0.3">
      <c r="A218" t="s">
        <v>294</v>
      </c>
      <c r="B218" t="s">
        <v>295</v>
      </c>
      <c r="C218" t="s">
        <v>252</v>
      </c>
      <c r="D218" t="s">
        <v>349</v>
      </c>
      <c r="F218">
        <v>72708898</v>
      </c>
      <c r="G218">
        <v>67486480</v>
      </c>
      <c r="H218" s="3">
        <v>0.92817400000000005</v>
      </c>
      <c r="I218">
        <v>39534373</v>
      </c>
      <c r="J218" s="3">
        <v>0.54373499999999997</v>
      </c>
      <c r="K218">
        <v>33174525</v>
      </c>
      <c r="L218" s="3">
        <v>0.45626499999999998</v>
      </c>
      <c r="M218">
        <v>0</v>
      </c>
      <c r="N218" s="3">
        <v>0</v>
      </c>
      <c r="O218">
        <v>0</v>
      </c>
      <c r="P218" s="11">
        <v>1</v>
      </c>
      <c r="Q218">
        <v>67486444</v>
      </c>
      <c r="R218" s="3">
        <v>0.92817300000000003</v>
      </c>
      <c r="S218">
        <v>36450851</v>
      </c>
      <c r="T218">
        <v>36258047</v>
      </c>
      <c r="U218">
        <v>36</v>
      </c>
      <c r="V218" s="12">
        <v>4.9512499999999998E-7</v>
      </c>
      <c r="W218">
        <v>730850</v>
      </c>
      <c r="X218">
        <v>156</v>
      </c>
    </row>
    <row r="219" spans="1:24" x14ac:dyDescent="0.3">
      <c r="A219" t="s">
        <v>294</v>
      </c>
      <c r="B219" t="s">
        <v>295</v>
      </c>
      <c r="C219" t="s">
        <v>252</v>
      </c>
      <c r="D219" t="s">
        <v>316</v>
      </c>
      <c r="F219">
        <v>215217997</v>
      </c>
      <c r="G219">
        <v>199320133</v>
      </c>
      <c r="H219" s="3">
        <v>0.92613100000000004</v>
      </c>
      <c r="I219">
        <v>116728077</v>
      </c>
      <c r="J219" s="3">
        <v>0.54237100000000005</v>
      </c>
      <c r="K219">
        <v>98489920</v>
      </c>
      <c r="L219" s="3">
        <v>0.45762900000000001</v>
      </c>
      <c r="M219">
        <v>0</v>
      </c>
      <c r="N219" s="3">
        <v>0</v>
      </c>
      <c r="O219">
        <v>0</v>
      </c>
      <c r="P219" s="3">
        <v>1</v>
      </c>
      <c r="Q219">
        <v>199319655</v>
      </c>
      <c r="R219" s="3">
        <v>0.92612899999999998</v>
      </c>
      <c r="S219">
        <v>107727928</v>
      </c>
      <c r="T219">
        <v>107490069</v>
      </c>
      <c r="U219">
        <v>478</v>
      </c>
      <c r="V219" s="3">
        <v>2.221E-6</v>
      </c>
      <c r="W219">
        <v>599032</v>
      </c>
      <c r="X219">
        <v>164</v>
      </c>
    </row>
    <row r="220" spans="1:24" x14ac:dyDescent="0.3">
      <c r="A220" t="s">
        <v>294</v>
      </c>
      <c r="B220" t="s">
        <v>295</v>
      </c>
      <c r="C220" t="s">
        <v>252</v>
      </c>
      <c r="D220" t="s">
        <v>347</v>
      </c>
      <c r="F220">
        <v>213833341</v>
      </c>
      <c r="G220">
        <v>197147512</v>
      </c>
      <c r="H220" s="3">
        <v>0.92196800000000001</v>
      </c>
      <c r="I220">
        <v>116427495</v>
      </c>
      <c r="J220" s="3">
        <v>0.54447800000000002</v>
      </c>
      <c r="K220">
        <v>97405846</v>
      </c>
      <c r="L220" s="3">
        <v>0.45552199999999998</v>
      </c>
      <c r="M220">
        <v>0</v>
      </c>
      <c r="N220" s="3">
        <v>0</v>
      </c>
      <c r="O220">
        <v>0</v>
      </c>
      <c r="P220" s="11">
        <v>1</v>
      </c>
      <c r="Q220">
        <v>197146798</v>
      </c>
      <c r="R220" s="3">
        <v>0.92196500000000003</v>
      </c>
      <c r="S220">
        <v>106984919</v>
      </c>
      <c r="T220">
        <v>106848422</v>
      </c>
      <c r="U220">
        <v>714</v>
      </c>
      <c r="V220" s="3">
        <v>3.3390499999999998E-6</v>
      </c>
      <c r="W220">
        <v>614484</v>
      </c>
      <c r="X220">
        <v>169</v>
      </c>
    </row>
    <row r="221" spans="1:24" x14ac:dyDescent="0.3">
      <c r="A221" t="s">
        <v>294</v>
      </c>
      <c r="B221" t="s">
        <v>295</v>
      </c>
      <c r="C221" t="s">
        <v>252</v>
      </c>
      <c r="D221" t="s">
        <v>317</v>
      </c>
      <c r="F221">
        <v>61650117</v>
      </c>
      <c r="G221">
        <v>56553359</v>
      </c>
      <c r="H221" s="3">
        <v>0.91732800000000003</v>
      </c>
      <c r="I221">
        <v>33720481</v>
      </c>
      <c r="J221" s="3">
        <v>0.54696500000000003</v>
      </c>
      <c r="K221">
        <v>27929636</v>
      </c>
      <c r="L221" s="3">
        <v>0.45303500000000002</v>
      </c>
      <c r="M221">
        <v>0</v>
      </c>
      <c r="N221" s="3">
        <v>0</v>
      </c>
      <c r="O221">
        <v>0</v>
      </c>
      <c r="P221" s="3">
        <v>1</v>
      </c>
      <c r="Q221">
        <v>56553264</v>
      </c>
      <c r="R221" s="3">
        <v>0.91732599999999997</v>
      </c>
      <c r="S221">
        <v>30808145</v>
      </c>
      <c r="T221">
        <v>30841972</v>
      </c>
      <c r="U221">
        <v>95</v>
      </c>
      <c r="V221" s="3">
        <v>1.54095E-6</v>
      </c>
      <c r="W221">
        <v>524516</v>
      </c>
      <c r="X221">
        <v>166</v>
      </c>
    </row>
    <row r="222" spans="1:24" x14ac:dyDescent="0.3">
      <c r="A222" t="s">
        <v>294</v>
      </c>
      <c r="B222" t="s">
        <v>295</v>
      </c>
      <c r="C222" t="s">
        <v>252</v>
      </c>
      <c r="D222" t="s">
        <v>323</v>
      </c>
    </row>
    <row r="223" spans="1:24" x14ac:dyDescent="0.3">
      <c r="A223" t="s">
        <v>294</v>
      </c>
      <c r="B223" t="s">
        <v>295</v>
      </c>
      <c r="C223" t="s">
        <v>252</v>
      </c>
      <c r="D223" t="s">
        <v>324</v>
      </c>
    </row>
    <row r="224" spans="1:24" x14ac:dyDescent="0.3">
      <c r="A224" t="s">
        <v>294</v>
      </c>
      <c r="B224" t="s">
        <v>295</v>
      </c>
      <c r="C224" t="s">
        <v>252</v>
      </c>
      <c r="D224" t="s">
        <v>341</v>
      </c>
    </row>
    <row r="225" spans="1:24" x14ac:dyDescent="0.3">
      <c r="A225" t="s">
        <v>294</v>
      </c>
      <c r="B225" t="s">
        <v>295</v>
      </c>
      <c r="C225" t="s">
        <v>252</v>
      </c>
      <c r="D225" t="s">
        <v>342</v>
      </c>
    </row>
    <row r="226" spans="1:24" x14ac:dyDescent="0.3">
      <c r="A226" t="s">
        <v>294</v>
      </c>
      <c r="B226" t="s">
        <v>295</v>
      </c>
      <c r="C226" t="s">
        <v>252</v>
      </c>
      <c r="D226" t="s">
        <v>343</v>
      </c>
    </row>
    <row r="227" spans="1:24" x14ac:dyDescent="0.3">
      <c r="A227" t="s">
        <v>294</v>
      </c>
      <c r="B227" t="s">
        <v>295</v>
      </c>
      <c r="C227" t="s">
        <v>252</v>
      </c>
      <c r="D227" t="s">
        <v>344</v>
      </c>
    </row>
    <row r="228" spans="1:24" x14ac:dyDescent="0.3">
      <c r="A228" t="s">
        <v>294</v>
      </c>
      <c r="B228" t="s">
        <v>295</v>
      </c>
      <c r="C228" t="s">
        <v>252</v>
      </c>
      <c r="D228" t="s">
        <v>345</v>
      </c>
    </row>
    <row r="229" spans="1:24" x14ac:dyDescent="0.3">
      <c r="A229" t="s">
        <v>294</v>
      </c>
      <c r="B229" t="s">
        <v>295</v>
      </c>
      <c r="C229" t="s">
        <v>252</v>
      </c>
      <c r="D229" t="s">
        <v>346</v>
      </c>
    </row>
    <row r="230" spans="1:24" x14ac:dyDescent="0.3">
      <c r="A230" t="s">
        <v>294</v>
      </c>
      <c r="B230" t="s">
        <v>295</v>
      </c>
      <c r="C230" t="s">
        <v>252</v>
      </c>
      <c r="D230" t="s">
        <v>359</v>
      </c>
    </row>
    <row r="231" spans="1:24" x14ac:dyDescent="0.3">
      <c r="A231" t="s">
        <v>294</v>
      </c>
      <c r="B231" t="s">
        <v>295</v>
      </c>
      <c r="C231" t="s">
        <v>252</v>
      </c>
      <c r="D231" t="s">
        <v>360</v>
      </c>
    </row>
    <row r="232" spans="1:24" x14ac:dyDescent="0.3">
      <c r="A232" t="s">
        <v>294</v>
      </c>
      <c r="B232" t="s">
        <v>295</v>
      </c>
      <c r="C232" t="s">
        <v>252</v>
      </c>
      <c r="D232" t="s">
        <v>361</v>
      </c>
    </row>
    <row r="233" spans="1:24" x14ac:dyDescent="0.3">
      <c r="A233" t="s">
        <v>294</v>
      </c>
      <c r="B233" t="s">
        <v>295</v>
      </c>
      <c r="C233" t="s">
        <v>252</v>
      </c>
      <c r="D233" t="s">
        <v>362</v>
      </c>
    </row>
    <row r="234" spans="1:24" x14ac:dyDescent="0.3">
      <c r="A234" t="s">
        <v>294</v>
      </c>
      <c r="B234" t="s">
        <v>295</v>
      </c>
      <c r="C234" t="s">
        <v>97</v>
      </c>
      <c r="D234" t="s">
        <v>327</v>
      </c>
      <c r="F234">
        <v>67690850</v>
      </c>
      <c r="G234">
        <v>67520066</v>
      </c>
      <c r="H234" s="3">
        <v>0.99747699999999995</v>
      </c>
      <c r="I234">
        <v>33391046</v>
      </c>
      <c r="J234" s="3">
        <v>0.49328699999999998</v>
      </c>
      <c r="K234">
        <v>34299804</v>
      </c>
      <c r="L234" s="3">
        <v>0.50671299999999997</v>
      </c>
      <c r="M234">
        <v>26699423</v>
      </c>
      <c r="N234" s="3">
        <v>0.394432</v>
      </c>
      <c r="Q234">
        <v>67425267</v>
      </c>
      <c r="R234" s="3">
        <v>0.99607699999999999</v>
      </c>
      <c r="S234">
        <v>33796721</v>
      </c>
      <c r="T234">
        <v>33894129</v>
      </c>
      <c r="U234">
        <v>94799</v>
      </c>
      <c r="V234" s="3">
        <v>1.40047E-3</v>
      </c>
      <c r="W234">
        <v>21069.9</v>
      </c>
      <c r="X234">
        <v>146</v>
      </c>
    </row>
    <row r="235" spans="1:24" x14ac:dyDescent="0.3">
      <c r="A235" t="s">
        <v>294</v>
      </c>
      <c r="B235" t="s">
        <v>295</v>
      </c>
      <c r="C235" t="s">
        <v>97</v>
      </c>
      <c r="D235" t="s">
        <v>359</v>
      </c>
      <c r="F235">
        <v>87433020</v>
      </c>
      <c r="G235">
        <v>87180488</v>
      </c>
      <c r="H235" s="3">
        <v>0.997112</v>
      </c>
      <c r="I235">
        <v>43134503</v>
      </c>
      <c r="J235" s="3">
        <v>0.49334299999999998</v>
      </c>
      <c r="K235">
        <v>44298517</v>
      </c>
      <c r="L235" s="3">
        <v>0.50665700000000002</v>
      </c>
      <c r="M235">
        <v>34577783</v>
      </c>
      <c r="N235" s="3">
        <v>0.39547700000000002</v>
      </c>
      <c r="Q235">
        <v>87046994</v>
      </c>
      <c r="R235" s="3">
        <v>0.99558500000000005</v>
      </c>
      <c r="S235">
        <v>43612549</v>
      </c>
      <c r="T235">
        <v>43820471</v>
      </c>
      <c r="U235">
        <v>133494</v>
      </c>
      <c r="V235" s="3">
        <v>1.52681E-3</v>
      </c>
      <c r="W235">
        <v>21309</v>
      </c>
      <c r="X235">
        <v>146</v>
      </c>
    </row>
    <row r="236" spans="1:24" x14ac:dyDescent="0.3">
      <c r="A236" t="s">
        <v>294</v>
      </c>
      <c r="B236" t="s">
        <v>295</v>
      </c>
      <c r="C236" t="s">
        <v>97</v>
      </c>
      <c r="D236" t="s">
        <v>347</v>
      </c>
      <c r="F236">
        <v>89697321</v>
      </c>
      <c r="G236">
        <v>89433383</v>
      </c>
      <c r="H236" s="3">
        <v>0.99705699999999997</v>
      </c>
      <c r="I236">
        <v>44181308</v>
      </c>
      <c r="J236" s="3">
        <v>0.49256</v>
      </c>
      <c r="K236">
        <v>45516013</v>
      </c>
      <c r="L236" s="3">
        <v>0.50744</v>
      </c>
      <c r="M236">
        <v>29674139</v>
      </c>
      <c r="N236" s="3">
        <v>0.33082499999999998</v>
      </c>
      <c r="Q236">
        <v>89281330</v>
      </c>
      <c r="R236" s="3">
        <v>0.99536199999999997</v>
      </c>
      <c r="S236">
        <v>44826944</v>
      </c>
      <c r="T236">
        <v>44870377</v>
      </c>
      <c r="U236">
        <v>152053</v>
      </c>
      <c r="V236" s="3">
        <v>1.6951799999999999E-3</v>
      </c>
      <c r="W236">
        <v>23538.7</v>
      </c>
      <c r="X236">
        <v>164</v>
      </c>
    </row>
    <row r="237" spans="1:24" x14ac:dyDescent="0.3">
      <c r="A237" t="s">
        <v>294</v>
      </c>
      <c r="B237" t="s">
        <v>295</v>
      </c>
      <c r="C237" t="s">
        <v>97</v>
      </c>
      <c r="D237" t="s">
        <v>362</v>
      </c>
      <c r="F237">
        <v>80822234</v>
      </c>
      <c r="G237">
        <v>80580916</v>
      </c>
      <c r="H237" s="3">
        <v>0.99701399999999996</v>
      </c>
      <c r="I237">
        <v>39892370</v>
      </c>
      <c r="J237" s="3">
        <v>0.49358200000000002</v>
      </c>
      <c r="K237">
        <v>40929864</v>
      </c>
      <c r="L237" s="3">
        <v>0.50641800000000003</v>
      </c>
      <c r="M237">
        <v>31245751</v>
      </c>
      <c r="N237" s="3">
        <v>0.386598</v>
      </c>
      <c r="Q237">
        <v>80454022</v>
      </c>
      <c r="R237" s="3">
        <v>0.995444</v>
      </c>
      <c r="S237">
        <v>40347273</v>
      </c>
      <c r="T237">
        <v>40474961</v>
      </c>
      <c r="U237">
        <v>126894</v>
      </c>
      <c r="V237" s="3">
        <v>1.57004E-3</v>
      </c>
      <c r="W237">
        <v>21749.599999999999</v>
      </c>
      <c r="X237">
        <v>157</v>
      </c>
    </row>
    <row r="238" spans="1:24" x14ac:dyDescent="0.3">
      <c r="A238" t="s">
        <v>294</v>
      </c>
      <c r="B238" t="s">
        <v>295</v>
      </c>
      <c r="C238" t="s">
        <v>97</v>
      </c>
      <c r="D238" t="s">
        <v>360</v>
      </c>
      <c r="F238">
        <v>78660673</v>
      </c>
      <c r="G238">
        <v>78410541</v>
      </c>
      <c r="H238" s="3">
        <v>0.99682000000000004</v>
      </c>
      <c r="I238">
        <v>38834242</v>
      </c>
      <c r="J238" s="3">
        <v>0.49369299999999999</v>
      </c>
      <c r="K238">
        <v>39826431</v>
      </c>
      <c r="L238" s="3">
        <v>0.50630699999999995</v>
      </c>
      <c r="M238">
        <v>32139430</v>
      </c>
      <c r="N238" s="3">
        <v>0.40858299999999997</v>
      </c>
      <c r="Q238">
        <v>78291498</v>
      </c>
      <c r="R238" s="3">
        <v>0.99530700000000005</v>
      </c>
      <c r="S238">
        <v>39240783</v>
      </c>
      <c r="T238">
        <v>39419890</v>
      </c>
      <c r="U238">
        <v>119043</v>
      </c>
      <c r="V238" s="3">
        <v>1.51337E-3</v>
      </c>
      <c r="W238">
        <v>20815.400000000001</v>
      </c>
      <c r="X238">
        <v>148</v>
      </c>
    </row>
    <row r="239" spans="1:24" x14ac:dyDescent="0.3">
      <c r="A239" t="s">
        <v>294</v>
      </c>
      <c r="B239" t="s">
        <v>295</v>
      </c>
      <c r="C239" t="s">
        <v>97</v>
      </c>
      <c r="D239" t="s">
        <v>322</v>
      </c>
      <c r="F239">
        <v>48282428</v>
      </c>
      <c r="G239">
        <v>48123866</v>
      </c>
      <c r="H239" s="3">
        <v>0.99671600000000005</v>
      </c>
      <c r="I239">
        <v>23820683</v>
      </c>
      <c r="J239" s="3">
        <v>0.49336099999999999</v>
      </c>
      <c r="K239">
        <v>24461745</v>
      </c>
      <c r="L239" s="3">
        <v>0.50663899999999995</v>
      </c>
      <c r="M239">
        <v>19948111</v>
      </c>
      <c r="N239" s="3">
        <v>0.41315499999999999</v>
      </c>
      <c r="Q239">
        <v>48048095</v>
      </c>
      <c r="R239" s="3">
        <v>0.995147</v>
      </c>
      <c r="S239">
        <v>24094652</v>
      </c>
      <c r="T239">
        <v>24187776</v>
      </c>
      <c r="U239">
        <v>75771</v>
      </c>
      <c r="V239" s="3">
        <v>1.5693300000000001E-3</v>
      </c>
      <c r="W239">
        <v>21914.1</v>
      </c>
      <c r="X239">
        <v>145</v>
      </c>
    </row>
    <row r="240" spans="1:24" x14ac:dyDescent="0.3">
      <c r="A240" t="s">
        <v>294</v>
      </c>
      <c r="B240" t="s">
        <v>295</v>
      </c>
      <c r="C240" t="s">
        <v>97</v>
      </c>
      <c r="D240" t="s">
        <v>315</v>
      </c>
      <c r="F240">
        <v>85881547</v>
      </c>
      <c r="G240">
        <v>85590005</v>
      </c>
      <c r="H240" s="3">
        <v>0.99660499999999996</v>
      </c>
      <c r="I240">
        <v>42435890</v>
      </c>
      <c r="J240" s="3">
        <v>0.49412099999999998</v>
      </c>
      <c r="K240">
        <v>43445657</v>
      </c>
      <c r="L240" s="3">
        <v>0.50587899999999997</v>
      </c>
      <c r="M240">
        <v>34735700</v>
      </c>
      <c r="N240" s="3">
        <v>0.40446100000000001</v>
      </c>
      <c r="Q240">
        <v>85461380</v>
      </c>
      <c r="R240" s="3">
        <v>0.99510799999999999</v>
      </c>
      <c r="S240">
        <v>42847573</v>
      </c>
      <c r="T240">
        <v>43033974</v>
      </c>
      <c r="U240">
        <v>128625</v>
      </c>
      <c r="V240" s="3">
        <v>1.4977E-3</v>
      </c>
      <c r="W240">
        <v>20750.7</v>
      </c>
      <c r="X240">
        <v>149</v>
      </c>
    </row>
    <row r="241" spans="1:24" x14ac:dyDescent="0.3">
      <c r="A241" t="s">
        <v>294</v>
      </c>
      <c r="B241" t="s">
        <v>295</v>
      </c>
      <c r="C241" t="s">
        <v>97</v>
      </c>
      <c r="D241" t="s">
        <v>361</v>
      </c>
      <c r="F241">
        <v>91432198</v>
      </c>
      <c r="G241">
        <v>91117897</v>
      </c>
      <c r="H241" s="3">
        <v>0.99656199999999995</v>
      </c>
      <c r="I241">
        <v>45104765</v>
      </c>
      <c r="J241" s="3">
        <v>0.49331399999999997</v>
      </c>
      <c r="K241">
        <v>46327433</v>
      </c>
      <c r="L241" s="3">
        <v>0.50668599999999997</v>
      </c>
      <c r="M241">
        <v>35668394</v>
      </c>
      <c r="N241" s="3">
        <v>0.39010800000000001</v>
      </c>
      <c r="Q241">
        <v>90979894</v>
      </c>
      <c r="R241" s="3">
        <v>0.99505299999999997</v>
      </c>
      <c r="S241">
        <v>45604050</v>
      </c>
      <c r="T241">
        <v>45828148</v>
      </c>
      <c r="U241">
        <v>138003</v>
      </c>
      <c r="V241" s="3">
        <v>1.50935E-3</v>
      </c>
      <c r="W241">
        <v>23050.400000000001</v>
      </c>
      <c r="X241">
        <v>154</v>
      </c>
    </row>
    <row r="242" spans="1:24" x14ac:dyDescent="0.3">
      <c r="A242" t="s">
        <v>294</v>
      </c>
      <c r="B242" t="s">
        <v>295</v>
      </c>
      <c r="C242" t="s">
        <v>97</v>
      </c>
      <c r="D242" t="s">
        <v>343</v>
      </c>
      <c r="F242">
        <v>79768459</v>
      </c>
      <c r="G242">
        <v>79493420</v>
      </c>
      <c r="H242" s="3">
        <v>0.99655199999999999</v>
      </c>
      <c r="I242">
        <v>39428444</v>
      </c>
      <c r="J242" s="3">
        <v>0.494286</v>
      </c>
      <c r="K242">
        <v>40340015</v>
      </c>
      <c r="L242" s="3">
        <v>0.505714</v>
      </c>
      <c r="M242">
        <v>32938352</v>
      </c>
      <c r="N242" s="3">
        <v>0.41292499999999999</v>
      </c>
      <c r="Q242">
        <v>79370511</v>
      </c>
      <c r="R242" s="3">
        <v>0.99501099999999998</v>
      </c>
      <c r="S242">
        <v>39797204</v>
      </c>
      <c r="T242">
        <v>39971255</v>
      </c>
      <c r="U242">
        <v>122909</v>
      </c>
      <c r="V242" s="3">
        <v>1.54082E-3</v>
      </c>
      <c r="W242">
        <v>19755.5</v>
      </c>
      <c r="X242">
        <v>146</v>
      </c>
    </row>
    <row r="243" spans="1:24" x14ac:dyDescent="0.3">
      <c r="A243" t="s">
        <v>294</v>
      </c>
      <c r="B243" t="s">
        <v>295</v>
      </c>
      <c r="C243" t="s">
        <v>97</v>
      </c>
      <c r="D243" t="s">
        <v>341</v>
      </c>
      <c r="F243">
        <v>80246643</v>
      </c>
      <c r="G243">
        <v>79955520</v>
      </c>
      <c r="H243" s="3">
        <v>0.99637200000000004</v>
      </c>
      <c r="I243">
        <v>39652228</v>
      </c>
      <c r="J243" s="3">
        <v>0.49412899999999998</v>
      </c>
      <c r="K243">
        <v>40594415</v>
      </c>
      <c r="L243" s="3">
        <v>0.50587099999999996</v>
      </c>
      <c r="M243">
        <v>32943547</v>
      </c>
      <c r="N243" s="3">
        <v>0.41052899999999998</v>
      </c>
      <c r="Q243">
        <v>79826541</v>
      </c>
      <c r="R243" s="3">
        <v>0.99476500000000001</v>
      </c>
      <c r="S243">
        <v>40034682</v>
      </c>
      <c r="T243">
        <v>40211961</v>
      </c>
      <c r="U243">
        <v>128979</v>
      </c>
      <c r="V243" s="3">
        <v>1.60728E-3</v>
      </c>
      <c r="W243">
        <v>20759.7</v>
      </c>
      <c r="X243">
        <v>147</v>
      </c>
    </row>
    <row r="244" spans="1:24" x14ac:dyDescent="0.3">
      <c r="A244" t="s">
        <v>294</v>
      </c>
      <c r="B244" t="s">
        <v>295</v>
      </c>
      <c r="C244" t="s">
        <v>97</v>
      </c>
      <c r="D244" t="s">
        <v>326</v>
      </c>
      <c r="F244">
        <v>78136444</v>
      </c>
      <c r="G244">
        <v>77842886</v>
      </c>
      <c r="H244" s="3">
        <v>0.99624299999999999</v>
      </c>
      <c r="I244">
        <v>38575088</v>
      </c>
      <c r="J244" s="3">
        <v>0.49368899999999999</v>
      </c>
      <c r="K244">
        <v>39561356</v>
      </c>
      <c r="L244" s="3">
        <v>0.50631099999999996</v>
      </c>
      <c r="M244">
        <v>33977777</v>
      </c>
      <c r="N244" s="3">
        <v>0.43485200000000002</v>
      </c>
      <c r="Q244">
        <v>77717053</v>
      </c>
      <c r="R244" s="3">
        <v>0.99463299999999999</v>
      </c>
      <c r="S244">
        <v>39030046</v>
      </c>
      <c r="T244">
        <v>39106398</v>
      </c>
      <c r="U244">
        <v>125833</v>
      </c>
      <c r="V244" s="3">
        <v>1.6104299999999999E-3</v>
      </c>
      <c r="W244">
        <v>21460.5</v>
      </c>
      <c r="X244">
        <v>144</v>
      </c>
    </row>
    <row r="245" spans="1:24" x14ac:dyDescent="0.3">
      <c r="A245" t="s">
        <v>294</v>
      </c>
      <c r="B245" t="s">
        <v>295</v>
      </c>
      <c r="C245" t="s">
        <v>97</v>
      </c>
      <c r="D245" t="s">
        <v>325</v>
      </c>
      <c r="F245">
        <v>78399625</v>
      </c>
      <c r="G245">
        <v>78100229</v>
      </c>
      <c r="H245" s="3">
        <v>0.99618099999999998</v>
      </c>
      <c r="I245">
        <v>38650891</v>
      </c>
      <c r="J245" s="3">
        <v>0.49299799999999999</v>
      </c>
      <c r="K245">
        <v>39748734</v>
      </c>
      <c r="L245" s="3">
        <v>0.50700199999999995</v>
      </c>
      <c r="M245">
        <v>30340168</v>
      </c>
      <c r="N245" s="3">
        <v>0.386994</v>
      </c>
      <c r="Q245">
        <v>77973326</v>
      </c>
      <c r="R245" s="3">
        <v>0.99456299999999997</v>
      </c>
      <c r="S245">
        <v>39141895</v>
      </c>
      <c r="T245">
        <v>39257730</v>
      </c>
      <c r="U245">
        <v>126903</v>
      </c>
      <c r="V245" s="3">
        <v>1.61867E-3</v>
      </c>
      <c r="W245">
        <v>24226.1</v>
      </c>
      <c r="X245">
        <v>154</v>
      </c>
    </row>
    <row r="246" spans="1:24" x14ac:dyDescent="0.3">
      <c r="A246" t="s">
        <v>294</v>
      </c>
      <c r="B246" t="s">
        <v>295</v>
      </c>
      <c r="C246" t="s">
        <v>97</v>
      </c>
      <c r="D246" t="s">
        <v>342</v>
      </c>
      <c r="F246">
        <v>79124340</v>
      </c>
      <c r="G246">
        <v>78771054</v>
      </c>
      <c r="H246" s="3">
        <v>0.99553499999999995</v>
      </c>
      <c r="I246">
        <v>39107999</v>
      </c>
      <c r="J246" s="3">
        <v>0.49425999999999998</v>
      </c>
      <c r="K246">
        <v>40016341</v>
      </c>
      <c r="L246" s="3">
        <v>0.50573999999999997</v>
      </c>
      <c r="M246">
        <v>34417318</v>
      </c>
      <c r="N246" s="3">
        <v>0.43497799999999998</v>
      </c>
      <c r="Q246">
        <v>78620634</v>
      </c>
      <c r="R246" s="3">
        <v>0.99363400000000002</v>
      </c>
      <c r="S246">
        <v>39488284</v>
      </c>
      <c r="T246">
        <v>39636056</v>
      </c>
      <c r="U246">
        <v>150420</v>
      </c>
      <c r="V246" s="3">
        <v>1.90106E-3</v>
      </c>
      <c r="W246">
        <v>20467.599999999999</v>
      </c>
      <c r="X246">
        <v>142</v>
      </c>
    </row>
    <row r="247" spans="1:24" x14ac:dyDescent="0.3">
      <c r="A247" t="s">
        <v>294</v>
      </c>
      <c r="B247" t="s">
        <v>295</v>
      </c>
      <c r="C247" t="s">
        <v>97</v>
      </c>
      <c r="D247" t="s">
        <v>328</v>
      </c>
      <c r="F247">
        <v>68381906</v>
      </c>
      <c r="G247">
        <v>67967459</v>
      </c>
      <c r="H247" s="3">
        <v>0.99393900000000002</v>
      </c>
      <c r="I247">
        <v>33818639</v>
      </c>
      <c r="J247" s="3">
        <v>0.49455500000000002</v>
      </c>
      <c r="K247">
        <v>34563267</v>
      </c>
      <c r="L247" s="3">
        <v>0.50544500000000003</v>
      </c>
      <c r="M247">
        <v>33186933</v>
      </c>
      <c r="N247" s="3">
        <v>0.485317</v>
      </c>
      <c r="Q247">
        <v>67843925</v>
      </c>
      <c r="R247" s="3">
        <v>0.99213300000000004</v>
      </c>
      <c r="S247">
        <v>34173841</v>
      </c>
      <c r="T247">
        <v>34208065</v>
      </c>
      <c r="U247">
        <v>123534</v>
      </c>
      <c r="V247" s="3">
        <v>1.80653E-3</v>
      </c>
      <c r="W247">
        <v>22060.799999999999</v>
      </c>
      <c r="X247">
        <v>133</v>
      </c>
    </row>
    <row r="248" spans="1:24" x14ac:dyDescent="0.3">
      <c r="A248" t="s">
        <v>294</v>
      </c>
      <c r="B248" t="s">
        <v>295</v>
      </c>
      <c r="C248" t="s">
        <v>97</v>
      </c>
      <c r="D248" t="s">
        <v>316</v>
      </c>
      <c r="F248">
        <v>94423911</v>
      </c>
      <c r="G248">
        <v>94158454</v>
      </c>
      <c r="H248" s="3">
        <v>0.99718899999999999</v>
      </c>
      <c r="I248">
        <v>46636237</v>
      </c>
      <c r="J248" s="3">
        <v>0.49390299999999998</v>
      </c>
      <c r="K248">
        <v>47787674</v>
      </c>
      <c r="L248" s="3">
        <v>0.50609700000000002</v>
      </c>
      <c r="M248">
        <v>32094726</v>
      </c>
      <c r="N248" s="3">
        <v>0.33989999999999998</v>
      </c>
      <c r="Q248">
        <v>94007808</v>
      </c>
      <c r="R248" s="3">
        <v>0.99559299999999995</v>
      </c>
      <c r="S248">
        <v>47162320</v>
      </c>
      <c r="T248">
        <v>47261591</v>
      </c>
      <c r="U248">
        <v>150646</v>
      </c>
      <c r="V248" s="3">
        <v>1.59542E-3</v>
      </c>
      <c r="W248">
        <v>20439.5</v>
      </c>
      <c r="X248">
        <v>158</v>
      </c>
    </row>
    <row r="249" spans="1:24" x14ac:dyDescent="0.3">
      <c r="A249" t="s">
        <v>294</v>
      </c>
      <c r="B249" t="s">
        <v>295</v>
      </c>
      <c r="C249" t="s">
        <v>97</v>
      </c>
      <c r="D249" t="s">
        <v>317</v>
      </c>
      <c r="F249">
        <v>82663381</v>
      </c>
      <c r="G249">
        <v>82475313</v>
      </c>
      <c r="H249" s="3">
        <v>0.99772499999999997</v>
      </c>
      <c r="I249">
        <v>40752350</v>
      </c>
      <c r="J249" s="3">
        <v>0.49299199999999999</v>
      </c>
      <c r="K249">
        <v>41911031</v>
      </c>
      <c r="L249" s="3">
        <v>0.50700800000000001</v>
      </c>
      <c r="M249">
        <v>25657004</v>
      </c>
      <c r="N249" s="3">
        <v>0.31037900000000002</v>
      </c>
      <c r="Q249">
        <v>82345177</v>
      </c>
      <c r="R249" s="3">
        <v>0.99615100000000001</v>
      </c>
      <c r="S249">
        <v>41313969</v>
      </c>
      <c r="T249">
        <v>41349412</v>
      </c>
      <c r="U249">
        <v>130136</v>
      </c>
      <c r="V249" s="3">
        <v>1.5742900000000001E-3</v>
      </c>
      <c r="W249">
        <v>22519.9</v>
      </c>
      <c r="X249">
        <v>162</v>
      </c>
    </row>
    <row r="250" spans="1:24" x14ac:dyDescent="0.3">
      <c r="A250" t="s">
        <v>294</v>
      </c>
      <c r="B250" t="s">
        <v>295</v>
      </c>
      <c r="C250" t="s">
        <v>97</v>
      </c>
      <c r="D250" t="s">
        <v>318</v>
      </c>
      <c r="F250">
        <v>85815220</v>
      </c>
      <c r="G250">
        <v>85498603</v>
      </c>
      <c r="H250" s="3">
        <v>0.99631099999999995</v>
      </c>
      <c r="I250">
        <v>42276438</v>
      </c>
      <c r="J250" s="3">
        <v>0.492645</v>
      </c>
      <c r="K250">
        <v>43538782</v>
      </c>
      <c r="L250" s="3">
        <v>0.507355</v>
      </c>
      <c r="M250">
        <v>34779098</v>
      </c>
      <c r="N250" s="3">
        <v>0.405279</v>
      </c>
      <c r="Q250">
        <v>85362177</v>
      </c>
      <c r="R250" s="3">
        <v>0.99472099999999997</v>
      </c>
      <c r="S250">
        <v>42874744</v>
      </c>
      <c r="T250">
        <v>42940476</v>
      </c>
      <c r="U250">
        <v>136426</v>
      </c>
      <c r="V250" s="3">
        <v>1.58976E-3</v>
      </c>
      <c r="W250">
        <v>24268.7</v>
      </c>
      <c r="X250">
        <v>150</v>
      </c>
    </row>
    <row r="251" spans="1:24" x14ac:dyDescent="0.3">
      <c r="A251" t="s">
        <v>294</v>
      </c>
      <c r="B251" t="s">
        <v>295</v>
      </c>
      <c r="C251" t="s">
        <v>97</v>
      </c>
      <c r="D251" t="s">
        <v>319</v>
      </c>
      <c r="F251">
        <v>86462219</v>
      </c>
      <c r="G251">
        <v>86183178</v>
      </c>
      <c r="H251" s="3">
        <v>0.99677300000000002</v>
      </c>
      <c r="I251">
        <v>42613357</v>
      </c>
      <c r="J251" s="3">
        <v>0.49285499999999999</v>
      </c>
      <c r="K251">
        <v>43848862</v>
      </c>
      <c r="L251" s="3">
        <v>0.50714499999999996</v>
      </c>
      <c r="M251">
        <v>34775630</v>
      </c>
      <c r="N251" s="3">
        <v>0.40220600000000001</v>
      </c>
      <c r="Q251">
        <v>86048793</v>
      </c>
      <c r="R251" s="3">
        <v>0.99521800000000005</v>
      </c>
      <c r="S251">
        <v>43163224</v>
      </c>
      <c r="T251">
        <v>43298995</v>
      </c>
      <c r="U251">
        <v>134385</v>
      </c>
      <c r="V251" s="3">
        <v>1.55426E-3</v>
      </c>
      <c r="W251">
        <v>23638.2</v>
      </c>
      <c r="X251">
        <v>148</v>
      </c>
    </row>
    <row r="252" spans="1:24" x14ac:dyDescent="0.3">
      <c r="A252" t="s">
        <v>294</v>
      </c>
      <c r="B252" t="s">
        <v>295</v>
      </c>
      <c r="C252" t="s">
        <v>97</v>
      </c>
      <c r="D252" t="s">
        <v>320</v>
      </c>
      <c r="F252">
        <v>93493175</v>
      </c>
      <c r="G252">
        <v>93187465</v>
      </c>
      <c r="H252" s="3">
        <v>0.99673</v>
      </c>
      <c r="I252">
        <v>46188238</v>
      </c>
      <c r="J252" s="3">
        <v>0.49402800000000002</v>
      </c>
      <c r="K252">
        <v>47304937</v>
      </c>
      <c r="L252" s="3">
        <v>0.50597199999999998</v>
      </c>
      <c r="M252">
        <v>37664647</v>
      </c>
      <c r="N252" s="3">
        <v>0.40286</v>
      </c>
      <c r="Q252">
        <v>93041769</v>
      </c>
      <c r="R252" s="3">
        <v>0.99517199999999995</v>
      </c>
      <c r="S252">
        <v>46684622</v>
      </c>
      <c r="T252">
        <v>46808553</v>
      </c>
      <c r="U252">
        <v>145696</v>
      </c>
      <c r="V252" s="3">
        <v>1.55836E-3</v>
      </c>
      <c r="W252">
        <v>20657</v>
      </c>
      <c r="X252" t="s">
        <v>516</v>
      </c>
    </row>
    <row r="253" spans="1:24" x14ac:dyDescent="0.3">
      <c r="A253" t="s">
        <v>294</v>
      </c>
      <c r="B253" t="s">
        <v>295</v>
      </c>
      <c r="C253" t="s">
        <v>97</v>
      </c>
      <c r="D253" t="s">
        <v>321</v>
      </c>
    </row>
    <row r="254" spans="1:24" x14ac:dyDescent="0.3">
      <c r="A254" t="s">
        <v>294</v>
      </c>
      <c r="B254" t="s">
        <v>295</v>
      </c>
      <c r="C254" t="s">
        <v>97</v>
      </c>
      <c r="D254" t="s">
        <v>323</v>
      </c>
      <c r="F254">
        <v>84509452</v>
      </c>
      <c r="G254">
        <v>84228594</v>
      </c>
      <c r="H254" s="3">
        <v>0.99667700000000004</v>
      </c>
      <c r="I254">
        <v>41717891</v>
      </c>
      <c r="J254" s="3">
        <v>0.49364799999999998</v>
      </c>
      <c r="K254">
        <v>42791561</v>
      </c>
      <c r="L254" s="3">
        <v>0.50635200000000002</v>
      </c>
      <c r="M254">
        <v>34260516</v>
      </c>
      <c r="N254" s="3">
        <v>0.40540500000000002</v>
      </c>
      <c r="Q254">
        <v>84093674</v>
      </c>
      <c r="R254" s="3">
        <v>0.99507999999999996</v>
      </c>
      <c r="S254">
        <v>42180677</v>
      </c>
      <c r="T254">
        <v>42328775</v>
      </c>
      <c r="U254">
        <v>134920</v>
      </c>
      <c r="V254" s="3">
        <v>1.59651E-3</v>
      </c>
      <c r="W254">
        <v>22087.1</v>
      </c>
      <c r="X254">
        <v>152</v>
      </c>
    </row>
    <row r="255" spans="1:24" x14ac:dyDescent="0.3">
      <c r="A255" t="s">
        <v>294</v>
      </c>
      <c r="B255" t="s">
        <v>295</v>
      </c>
      <c r="C255" t="s">
        <v>97</v>
      </c>
      <c r="D255" t="s">
        <v>324</v>
      </c>
      <c r="F255">
        <v>78986876</v>
      </c>
      <c r="G255">
        <v>78735806</v>
      </c>
      <c r="H255" s="3">
        <v>0.99682099999999996</v>
      </c>
      <c r="I255">
        <v>38971767</v>
      </c>
      <c r="J255" s="3">
        <v>0.49339499999999997</v>
      </c>
      <c r="K255">
        <v>40015109</v>
      </c>
      <c r="L255" s="3">
        <v>0.50660400000000005</v>
      </c>
      <c r="M255">
        <v>32043171</v>
      </c>
      <c r="N255" s="3">
        <v>0.40567700000000001</v>
      </c>
      <c r="Q255">
        <v>78609062</v>
      </c>
      <c r="R255" s="3">
        <v>0.99521700000000002</v>
      </c>
      <c r="S255">
        <v>39423710</v>
      </c>
      <c r="T255">
        <v>39563166</v>
      </c>
      <c r="U255">
        <v>126744</v>
      </c>
      <c r="V255" s="3">
        <v>1.60462E-3</v>
      </c>
      <c r="W255">
        <v>21823.9</v>
      </c>
      <c r="X255">
        <v>151</v>
      </c>
    </row>
    <row r="256" spans="1:24" x14ac:dyDescent="0.3">
      <c r="A256" t="s">
        <v>294</v>
      </c>
      <c r="B256" t="s">
        <v>295</v>
      </c>
      <c r="C256" t="s">
        <v>97</v>
      </c>
      <c r="D256" t="s">
        <v>329</v>
      </c>
      <c r="F256">
        <v>84216213</v>
      </c>
      <c r="G256">
        <v>83950293</v>
      </c>
      <c r="H256" s="3">
        <v>0.99684200000000001</v>
      </c>
      <c r="I256">
        <v>41571240</v>
      </c>
      <c r="J256" s="3">
        <v>0.49362499999999998</v>
      </c>
      <c r="K256">
        <v>42644973</v>
      </c>
      <c r="L256" s="3">
        <v>0.50637500000000002</v>
      </c>
      <c r="M256">
        <v>32867187</v>
      </c>
      <c r="N256" s="3">
        <v>0.39027099999999998</v>
      </c>
      <c r="Q256">
        <v>83816063</v>
      </c>
      <c r="R256" s="3">
        <v>0.99524800000000002</v>
      </c>
      <c r="S256">
        <v>42015074</v>
      </c>
      <c r="T256">
        <v>42201139</v>
      </c>
      <c r="U256">
        <v>134230</v>
      </c>
      <c r="V256" s="3">
        <v>1.5938700000000001E-3</v>
      </c>
      <c r="W256">
        <v>21513.1</v>
      </c>
      <c r="X256">
        <v>152</v>
      </c>
    </row>
    <row r="257" spans="1:24" x14ac:dyDescent="0.3">
      <c r="A257" t="s">
        <v>294</v>
      </c>
      <c r="B257" t="s">
        <v>295</v>
      </c>
      <c r="C257" t="s">
        <v>97</v>
      </c>
      <c r="D257" t="s">
        <v>330</v>
      </c>
      <c r="F257">
        <v>73659350</v>
      </c>
      <c r="G257">
        <v>73436719</v>
      </c>
      <c r="H257" s="3">
        <v>0.99697800000000003</v>
      </c>
      <c r="I257">
        <v>36336375</v>
      </c>
      <c r="J257" s="3">
        <v>0.49330299999999999</v>
      </c>
      <c r="K257">
        <v>37322975</v>
      </c>
      <c r="L257" s="3">
        <v>0.50669699999999995</v>
      </c>
      <c r="M257">
        <v>29298077</v>
      </c>
      <c r="N257" s="3">
        <v>0.39775100000000002</v>
      </c>
      <c r="Q257">
        <v>73323352</v>
      </c>
      <c r="R257" s="3">
        <v>0.99543800000000005</v>
      </c>
      <c r="S257">
        <v>36737783</v>
      </c>
      <c r="T257">
        <v>36921567</v>
      </c>
      <c r="U257">
        <v>113367</v>
      </c>
      <c r="V257" s="3">
        <v>1.53907E-3</v>
      </c>
      <c r="W257">
        <v>21931</v>
      </c>
      <c r="X257">
        <v>151</v>
      </c>
    </row>
    <row r="258" spans="1:24" x14ac:dyDescent="0.3">
      <c r="A258" t="s">
        <v>294</v>
      </c>
      <c r="B258" t="s">
        <v>295</v>
      </c>
      <c r="C258" t="s">
        <v>97</v>
      </c>
      <c r="D258" t="s">
        <v>331</v>
      </c>
      <c r="F258">
        <v>69461529</v>
      </c>
      <c r="G258">
        <v>69247247</v>
      </c>
      <c r="H258" s="3">
        <v>0.996915</v>
      </c>
      <c r="I258">
        <v>34255937</v>
      </c>
      <c r="J258" s="3">
        <v>0.49316399999999999</v>
      </c>
      <c r="K258">
        <v>35205592</v>
      </c>
      <c r="L258" s="3">
        <v>0.50683599999999995</v>
      </c>
      <c r="M258">
        <v>27210461</v>
      </c>
      <c r="N258" s="3">
        <v>0.39173400000000003</v>
      </c>
      <c r="Q258">
        <v>69138604</v>
      </c>
      <c r="R258" s="3">
        <v>0.99535099999999999</v>
      </c>
      <c r="S258">
        <v>34663657</v>
      </c>
      <c r="T258">
        <v>34797872</v>
      </c>
      <c r="U258">
        <v>108643</v>
      </c>
      <c r="V258" s="3">
        <v>1.5640700000000001E-3</v>
      </c>
      <c r="W258">
        <v>22372.7</v>
      </c>
      <c r="X258">
        <v>152</v>
      </c>
    </row>
    <row r="259" spans="1:24" x14ac:dyDescent="0.3">
      <c r="A259" t="s">
        <v>294</v>
      </c>
      <c r="B259" t="s">
        <v>295</v>
      </c>
      <c r="C259" t="s">
        <v>97</v>
      </c>
      <c r="D259" t="s">
        <v>332</v>
      </c>
      <c r="F259">
        <v>81266770</v>
      </c>
      <c r="G259">
        <v>80988366</v>
      </c>
      <c r="H259" s="3">
        <v>0.99657399999999996</v>
      </c>
      <c r="I259">
        <v>40125714</v>
      </c>
      <c r="J259" s="3">
        <v>0.493753</v>
      </c>
      <c r="K259">
        <v>41141056</v>
      </c>
      <c r="L259" s="3">
        <v>0.506247</v>
      </c>
      <c r="M259">
        <v>33097350</v>
      </c>
      <c r="N259" s="3">
        <v>0.40726800000000002</v>
      </c>
      <c r="Q259">
        <v>80856190</v>
      </c>
      <c r="R259" s="3">
        <v>0.99494800000000005</v>
      </c>
      <c r="S259">
        <v>40553175</v>
      </c>
      <c r="T259">
        <v>40713595</v>
      </c>
      <c r="U259">
        <v>132176</v>
      </c>
      <c r="V259" s="3">
        <v>1.62645E-3</v>
      </c>
      <c r="W259">
        <v>21515.9</v>
      </c>
      <c r="X259">
        <v>152</v>
      </c>
    </row>
    <row r="260" spans="1:24" x14ac:dyDescent="0.3">
      <c r="A260" t="s">
        <v>294</v>
      </c>
      <c r="B260" t="s">
        <v>295</v>
      </c>
      <c r="C260" t="s">
        <v>97</v>
      </c>
      <c r="D260" t="s">
        <v>333</v>
      </c>
      <c r="F260">
        <v>95518823</v>
      </c>
      <c r="G260">
        <v>95219681</v>
      </c>
      <c r="H260" s="3">
        <v>0.99686799999999998</v>
      </c>
      <c r="I260">
        <v>47277178</v>
      </c>
      <c r="J260" s="3">
        <v>0.49495099999999997</v>
      </c>
      <c r="K260">
        <v>48241645</v>
      </c>
      <c r="L260" s="3">
        <v>0.50504899999999997</v>
      </c>
      <c r="M260">
        <v>39323029</v>
      </c>
      <c r="N260" s="3">
        <v>0.41167799999999999</v>
      </c>
      <c r="Q260">
        <v>95077309</v>
      </c>
      <c r="R260" s="3">
        <v>0.99537799999999999</v>
      </c>
      <c r="S260">
        <v>47671056</v>
      </c>
      <c r="T260">
        <v>47847767</v>
      </c>
      <c r="U260">
        <v>142372</v>
      </c>
      <c r="V260" s="3">
        <v>1.49051E-3</v>
      </c>
      <c r="W260">
        <v>17995.5</v>
      </c>
      <c r="X260">
        <v>148</v>
      </c>
    </row>
    <row r="261" spans="1:24" x14ac:dyDescent="0.3">
      <c r="A261" t="s">
        <v>294</v>
      </c>
      <c r="B261" t="s">
        <v>295</v>
      </c>
      <c r="C261" t="s">
        <v>97</v>
      </c>
      <c r="D261" t="s">
        <v>334</v>
      </c>
      <c r="F261">
        <v>77441862</v>
      </c>
      <c r="G261">
        <v>77176211</v>
      </c>
      <c r="H261" s="3">
        <v>0.99656999999999996</v>
      </c>
      <c r="I261">
        <v>38217402</v>
      </c>
      <c r="J261" s="3">
        <v>0.49349799999999999</v>
      </c>
      <c r="K261">
        <v>39224460</v>
      </c>
      <c r="L261" s="3">
        <v>0.50650200000000001</v>
      </c>
      <c r="M261">
        <v>31224598</v>
      </c>
      <c r="N261" s="3">
        <v>0.4032</v>
      </c>
      <c r="Q261">
        <v>77046396</v>
      </c>
      <c r="R261" s="3">
        <v>0.99489300000000003</v>
      </c>
      <c r="S261">
        <v>38638999</v>
      </c>
      <c r="T261">
        <v>38802863</v>
      </c>
      <c r="U261">
        <v>129815</v>
      </c>
      <c r="V261" s="3">
        <v>1.67629E-3</v>
      </c>
      <c r="W261">
        <v>22031.8</v>
      </c>
      <c r="X261">
        <v>153</v>
      </c>
    </row>
    <row r="262" spans="1:24" x14ac:dyDescent="0.3">
      <c r="A262" t="s">
        <v>294</v>
      </c>
      <c r="B262" t="s">
        <v>295</v>
      </c>
      <c r="C262" t="s">
        <v>97</v>
      </c>
      <c r="D262" t="s">
        <v>335</v>
      </c>
      <c r="F262">
        <v>70227892</v>
      </c>
      <c r="G262">
        <v>70024889</v>
      </c>
      <c r="H262" s="3">
        <v>0.99710900000000002</v>
      </c>
      <c r="I262">
        <v>34637064</v>
      </c>
      <c r="J262" s="3">
        <v>0.49320999999999998</v>
      </c>
      <c r="K262">
        <v>35590828</v>
      </c>
      <c r="L262" s="3">
        <v>0.50679099999999999</v>
      </c>
      <c r="M262">
        <v>27637238</v>
      </c>
      <c r="N262" s="3">
        <v>0.393536</v>
      </c>
      <c r="Q262">
        <v>69913430</v>
      </c>
      <c r="R262" s="3">
        <v>0.99552200000000002</v>
      </c>
      <c r="S262">
        <v>35043904</v>
      </c>
      <c r="T262">
        <v>35183988</v>
      </c>
      <c r="U262">
        <v>111459</v>
      </c>
      <c r="V262" s="3">
        <v>1.5870999999999999E-3</v>
      </c>
      <c r="W262">
        <v>22495.7</v>
      </c>
      <c r="X262">
        <v>153</v>
      </c>
    </row>
    <row r="263" spans="1:24" x14ac:dyDescent="0.3">
      <c r="A263" t="s">
        <v>294</v>
      </c>
      <c r="B263" t="s">
        <v>295</v>
      </c>
      <c r="C263" t="s">
        <v>97</v>
      </c>
      <c r="D263" t="s">
        <v>336</v>
      </c>
      <c r="F263">
        <v>77407354</v>
      </c>
      <c r="G263">
        <v>77066504</v>
      </c>
      <c r="H263" s="3">
        <v>0.99559699999999995</v>
      </c>
      <c r="I263">
        <v>38271110</v>
      </c>
      <c r="J263" s="3">
        <v>0.49441200000000002</v>
      </c>
      <c r="K263">
        <v>39136244</v>
      </c>
      <c r="L263" s="3">
        <v>0.50558800000000004</v>
      </c>
      <c r="M263">
        <v>33153100</v>
      </c>
      <c r="N263" s="3">
        <v>0.42829400000000001</v>
      </c>
      <c r="Q263">
        <v>76941656</v>
      </c>
      <c r="R263" s="3">
        <v>0.99398399999999998</v>
      </c>
      <c r="S263">
        <v>38632240</v>
      </c>
      <c r="T263">
        <v>38775114</v>
      </c>
      <c r="U263">
        <v>124848</v>
      </c>
      <c r="V263" s="3">
        <v>1.61287E-3</v>
      </c>
      <c r="W263">
        <v>21167.8</v>
      </c>
      <c r="X263">
        <v>146</v>
      </c>
    </row>
    <row r="264" spans="1:24" x14ac:dyDescent="0.3">
      <c r="A264" t="s">
        <v>294</v>
      </c>
      <c r="B264" t="s">
        <v>295</v>
      </c>
      <c r="C264" t="s">
        <v>97</v>
      </c>
      <c r="D264" t="s">
        <v>337</v>
      </c>
      <c r="F264">
        <v>66780400</v>
      </c>
      <c r="G264">
        <v>66580376</v>
      </c>
      <c r="H264" s="3">
        <v>0.99700500000000003</v>
      </c>
      <c r="I264">
        <v>32958172</v>
      </c>
      <c r="J264" s="3">
        <v>0.493531</v>
      </c>
      <c r="K264">
        <v>33822228</v>
      </c>
      <c r="L264" s="3">
        <v>0.50646899999999995</v>
      </c>
      <c r="M264">
        <v>25023720</v>
      </c>
      <c r="N264" s="3">
        <v>0.37471700000000002</v>
      </c>
      <c r="Q264">
        <v>66467542</v>
      </c>
      <c r="R264" s="3">
        <v>0.99531499999999995</v>
      </c>
      <c r="S264">
        <v>33333982</v>
      </c>
      <c r="T264">
        <v>33446418</v>
      </c>
      <c r="U264">
        <v>112834</v>
      </c>
      <c r="V264" s="3">
        <v>1.6896299999999999E-3</v>
      </c>
      <c r="W264">
        <v>21813.1</v>
      </c>
      <c r="X264">
        <v>157</v>
      </c>
    </row>
    <row r="265" spans="1:24" x14ac:dyDescent="0.3">
      <c r="A265" t="s">
        <v>294</v>
      </c>
      <c r="B265" t="s">
        <v>295</v>
      </c>
      <c r="C265" t="s">
        <v>97</v>
      </c>
      <c r="D265" t="s">
        <v>338</v>
      </c>
      <c r="F265">
        <v>55245041</v>
      </c>
      <c r="G265">
        <v>55058574</v>
      </c>
      <c r="H265" s="3">
        <v>0.99662499999999998</v>
      </c>
      <c r="I265">
        <v>27297470</v>
      </c>
      <c r="J265" s="3">
        <v>0.494116</v>
      </c>
      <c r="K265">
        <v>27947571</v>
      </c>
      <c r="L265" s="3">
        <v>0.505884</v>
      </c>
      <c r="M265">
        <v>22910976</v>
      </c>
      <c r="N265" s="3">
        <v>0.41471599999999997</v>
      </c>
      <c r="Q265">
        <v>54972587</v>
      </c>
      <c r="R265" s="3">
        <v>0.99506799999999995</v>
      </c>
      <c r="S265">
        <v>27556087</v>
      </c>
      <c r="T265">
        <v>27688954</v>
      </c>
      <c r="U265">
        <v>85987</v>
      </c>
      <c r="V265" s="3">
        <v>1.5564699999999999E-3</v>
      </c>
      <c r="W265">
        <v>20910.5</v>
      </c>
      <c r="X265">
        <v>147</v>
      </c>
    </row>
    <row r="266" spans="1:24" x14ac:dyDescent="0.3">
      <c r="A266" t="s">
        <v>294</v>
      </c>
      <c r="B266" t="s">
        <v>295</v>
      </c>
      <c r="C266" t="s">
        <v>97</v>
      </c>
      <c r="D266" t="s">
        <v>339</v>
      </c>
    </row>
    <row r="267" spans="1:24" x14ac:dyDescent="0.3">
      <c r="A267" t="s">
        <v>294</v>
      </c>
      <c r="B267" t="s">
        <v>295</v>
      </c>
      <c r="C267" t="s">
        <v>97</v>
      </c>
      <c r="D267" t="s">
        <v>340</v>
      </c>
    </row>
    <row r="268" spans="1:24" x14ac:dyDescent="0.3">
      <c r="A268" t="s">
        <v>294</v>
      </c>
      <c r="B268" t="s">
        <v>295</v>
      </c>
      <c r="C268" t="s">
        <v>97</v>
      </c>
      <c r="D268" t="s">
        <v>344</v>
      </c>
      <c r="F268">
        <v>81101698</v>
      </c>
      <c r="G268">
        <v>80794632</v>
      </c>
      <c r="H268" s="3">
        <v>0.99621400000000004</v>
      </c>
      <c r="I268">
        <v>39949166</v>
      </c>
      <c r="J268" s="3">
        <v>0.49258099999999999</v>
      </c>
      <c r="K268">
        <v>41152532</v>
      </c>
      <c r="L268" s="3">
        <v>0.50741899999999995</v>
      </c>
      <c r="M268">
        <v>32025165</v>
      </c>
      <c r="N268" s="3">
        <v>0.39487699999999998</v>
      </c>
      <c r="Q268">
        <v>80665299</v>
      </c>
      <c r="R268" s="3">
        <v>0.99461900000000003</v>
      </c>
      <c r="S268">
        <v>40486053</v>
      </c>
      <c r="T268">
        <v>40615645</v>
      </c>
      <c r="U268">
        <v>129333</v>
      </c>
      <c r="V268" s="3">
        <v>1.5946999999999999E-3</v>
      </c>
      <c r="W268">
        <v>25621.3</v>
      </c>
      <c r="X268">
        <v>151</v>
      </c>
    </row>
    <row r="269" spans="1:24" x14ac:dyDescent="0.3">
      <c r="A269" t="s">
        <v>294</v>
      </c>
      <c r="B269" t="s">
        <v>295</v>
      </c>
      <c r="C269" t="s">
        <v>97</v>
      </c>
      <c r="D269" t="s">
        <v>345</v>
      </c>
      <c r="F269">
        <v>101845164</v>
      </c>
      <c r="G269">
        <v>101534724</v>
      </c>
      <c r="H269" s="3">
        <v>0.99695199999999995</v>
      </c>
      <c r="I269">
        <v>50234171</v>
      </c>
      <c r="J269" s="3">
        <v>0.49324099999999999</v>
      </c>
      <c r="K269">
        <v>51610993</v>
      </c>
      <c r="L269" s="3">
        <v>0.50675899999999996</v>
      </c>
      <c r="M269">
        <v>40526790</v>
      </c>
      <c r="N269" s="3">
        <v>0.397926</v>
      </c>
      <c r="Q269">
        <v>101371025</v>
      </c>
      <c r="R269" s="3">
        <v>0.99534400000000001</v>
      </c>
      <c r="S269">
        <v>50823056</v>
      </c>
      <c r="T269">
        <v>51022108</v>
      </c>
      <c r="U269">
        <v>163699</v>
      </c>
      <c r="V269" s="3">
        <v>1.6073299999999999E-3</v>
      </c>
      <c r="W269">
        <v>22055.200000000001</v>
      </c>
      <c r="X269">
        <v>149</v>
      </c>
    </row>
    <row r="270" spans="1:24" x14ac:dyDescent="0.3">
      <c r="A270" t="s">
        <v>294</v>
      </c>
      <c r="B270" t="s">
        <v>295</v>
      </c>
      <c r="C270" t="s">
        <v>97</v>
      </c>
      <c r="D270" t="s">
        <v>346</v>
      </c>
      <c r="F270">
        <v>97353235</v>
      </c>
      <c r="G270">
        <v>97055649</v>
      </c>
      <c r="H270" s="3">
        <v>0.99694300000000002</v>
      </c>
      <c r="I270">
        <v>47999696</v>
      </c>
      <c r="J270" s="3">
        <v>0.49304700000000001</v>
      </c>
      <c r="K270">
        <v>49353539</v>
      </c>
      <c r="L270" s="3">
        <v>0.50695299999999999</v>
      </c>
      <c r="M270">
        <v>39039108</v>
      </c>
      <c r="N270" s="3">
        <v>0.401005</v>
      </c>
      <c r="Q270">
        <v>96913307</v>
      </c>
      <c r="R270" s="3">
        <v>0.99548099999999995</v>
      </c>
      <c r="S270">
        <v>48581775</v>
      </c>
      <c r="T270">
        <v>48771460</v>
      </c>
      <c r="U270">
        <v>142342</v>
      </c>
      <c r="V270" s="3">
        <v>1.4621199999999999E-3</v>
      </c>
      <c r="W270">
        <v>22646.7</v>
      </c>
      <c r="X270">
        <v>144</v>
      </c>
    </row>
    <row r="271" spans="1:24" x14ac:dyDescent="0.3">
      <c r="A271" t="s">
        <v>294</v>
      </c>
      <c r="B271" t="s">
        <v>295</v>
      </c>
      <c r="C271" t="s">
        <v>97</v>
      </c>
      <c r="D271" t="s">
        <v>348</v>
      </c>
      <c r="F271">
        <v>82747343</v>
      </c>
      <c r="G271">
        <v>82493768</v>
      </c>
      <c r="H271" s="3">
        <v>0.99693600000000004</v>
      </c>
      <c r="I271">
        <v>40797806</v>
      </c>
      <c r="J271" s="3">
        <v>0.49304100000000001</v>
      </c>
      <c r="K271">
        <v>41949537</v>
      </c>
      <c r="L271" s="3">
        <v>0.50695900000000005</v>
      </c>
      <c r="M271">
        <v>33692703</v>
      </c>
      <c r="N271" s="3">
        <v>0.40717599999999998</v>
      </c>
      <c r="Q271">
        <v>82362520</v>
      </c>
      <c r="R271" s="3">
        <v>0.99534900000000004</v>
      </c>
      <c r="S271">
        <v>41295268</v>
      </c>
      <c r="T271">
        <v>41452075</v>
      </c>
      <c r="U271">
        <v>131248</v>
      </c>
      <c r="V271" s="3">
        <v>1.58613E-3</v>
      </c>
      <c r="W271">
        <v>21900.7</v>
      </c>
      <c r="X271">
        <v>151</v>
      </c>
    </row>
    <row r="272" spans="1:24" x14ac:dyDescent="0.3">
      <c r="A272" t="s">
        <v>294</v>
      </c>
      <c r="B272" t="s">
        <v>295</v>
      </c>
      <c r="C272" t="s">
        <v>97</v>
      </c>
      <c r="D272" t="s">
        <v>349</v>
      </c>
      <c r="F272">
        <v>77184161</v>
      </c>
      <c r="G272">
        <v>77005083</v>
      </c>
      <c r="H272" s="3">
        <v>0.99768000000000001</v>
      </c>
      <c r="I272">
        <v>37865760</v>
      </c>
      <c r="J272" s="3">
        <v>0.49059000000000003</v>
      </c>
      <c r="K272">
        <v>39318401</v>
      </c>
      <c r="L272" s="3">
        <v>0.50941000000000003</v>
      </c>
      <c r="M272">
        <v>28739322</v>
      </c>
      <c r="N272" s="3">
        <v>0.37234699999999998</v>
      </c>
      <c r="Q272">
        <v>76892652</v>
      </c>
      <c r="R272" s="3">
        <v>0.99622299999999997</v>
      </c>
      <c r="S272">
        <v>38582341</v>
      </c>
      <c r="T272">
        <v>38601820</v>
      </c>
      <c r="U272">
        <v>112431</v>
      </c>
      <c r="V272" s="3">
        <v>1.45666E-3</v>
      </c>
      <c r="W272">
        <v>27950.9</v>
      </c>
      <c r="X272">
        <v>151</v>
      </c>
    </row>
    <row r="273" spans="1:24" x14ac:dyDescent="0.3">
      <c r="A273" t="s">
        <v>294</v>
      </c>
      <c r="B273" t="s">
        <v>295</v>
      </c>
      <c r="C273" t="s">
        <v>97</v>
      </c>
      <c r="D273" t="s">
        <v>350</v>
      </c>
      <c r="F273">
        <v>92477575</v>
      </c>
      <c r="G273">
        <v>92209774</v>
      </c>
      <c r="H273" s="3">
        <v>0.99710399999999999</v>
      </c>
      <c r="I273">
        <v>45625914</v>
      </c>
      <c r="J273" s="3">
        <v>0.49337300000000001</v>
      </c>
      <c r="K273">
        <v>46851661</v>
      </c>
      <c r="L273" s="3">
        <v>0.50662700000000005</v>
      </c>
      <c r="M273">
        <v>36691315</v>
      </c>
      <c r="N273" s="3">
        <v>0.39675899999999997</v>
      </c>
      <c r="Q273">
        <v>92069562</v>
      </c>
      <c r="R273" s="3">
        <v>0.99558800000000003</v>
      </c>
      <c r="S273">
        <v>46140761</v>
      </c>
      <c r="T273">
        <v>46336814</v>
      </c>
      <c r="U273">
        <v>140212</v>
      </c>
      <c r="V273" s="3">
        <v>1.5161700000000001E-3</v>
      </c>
      <c r="W273">
        <v>21708</v>
      </c>
      <c r="X273">
        <v>150</v>
      </c>
    </row>
    <row r="274" spans="1:24" x14ac:dyDescent="0.3">
      <c r="A274" t="s">
        <v>294</v>
      </c>
      <c r="B274" t="s">
        <v>295</v>
      </c>
      <c r="C274" t="s">
        <v>97</v>
      </c>
      <c r="D274" t="s">
        <v>351</v>
      </c>
      <c r="F274">
        <v>85171258</v>
      </c>
      <c r="G274">
        <v>84933584</v>
      </c>
      <c r="H274" s="3">
        <v>0.99720900000000001</v>
      </c>
      <c r="I274">
        <v>41989988</v>
      </c>
      <c r="J274" s="3">
        <v>0.49300699999999997</v>
      </c>
      <c r="K274">
        <v>43181270</v>
      </c>
      <c r="L274" s="3">
        <v>0.50699300000000003</v>
      </c>
      <c r="M274">
        <v>34195079</v>
      </c>
      <c r="N274" s="3">
        <v>0.40148600000000001</v>
      </c>
      <c r="Q274">
        <v>84796909</v>
      </c>
      <c r="R274" s="3">
        <v>0.99560499999999996</v>
      </c>
      <c r="S274">
        <v>42535798</v>
      </c>
      <c r="T274">
        <v>42635460</v>
      </c>
      <c r="U274">
        <v>136675</v>
      </c>
      <c r="V274" s="3">
        <v>1.6047100000000001E-3</v>
      </c>
      <c r="W274">
        <v>22304.7</v>
      </c>
      <c r="X274">
        <v>152</v>
      </c>
    </row>
    <row r="275" spans="1:24" x14ac:dyDescent="0.3">
      <c r="A275" t="s">
        <v>294</v>
      </c>
      <c r="B275" t="s">
        <v>295</v>
      </c>
      <c r="C275" t="s">
        <v>97</v>
      </c>
      <c r="D275" t="s">
        <v>352</v>
      </c>
      <c r="F275">
        <v>74077200</v>
      </c>
      <c r="G275">
        <v>73864595</v>
      </c>
      <c r="H275" s="3">
        <v>0.99712999999999996</v>
      </c>
      <c r="I275">
        <v>36524892</v>
      </c>
      <c r="J275" s="3">
        <v>0.49306499999999998</v>
      </c>
      <c r="K275">
        <v>37552308</v>
      </c>
      <c r="L275" s="3">
        <v>0.50693500000000002</v>
      </c>
      <c r="M275">
        <v>28446017</v>
      </c>
      <c r="N275" s="3">
        <v>0.38400499999999999</v>
      </c>
      <c r="Q275">
        <v>73743092</v>
      </c>
      <c r="R275" s="3">
        <v>0.99548999999999999</v>
      </c>
      <c r="S275">
        <v>36961890</v>
      </c>
      <c r="T275">
        <v>37115310</v>
      </c>
      <c r="U275">
        <v>121503</v>
      </c>
      <c r="V275" s="3">
        <v>1.64022E-3</v>
      </c>
      <c r="W275">
        <v>22491.3</v>
      </c>
      <c r="X275">
        <v>149</v>
      </c>
    </row>
    <row r="276" spans="1:24" x14ac:dyDescent="0.3">
      <c r="A276" t="s">
        <v>294</v>
      </c>
      <c r="B276" t="s">
        <v>295</v>
      </c>
      <c r="C276" t="s">
        <v>97</v>
      </c>
      <c r="D276" t="s">
        <v>353</v>
      </c>
      <c r="F276">
        <v>69075262</v>
      </c>
      <c r="G276">
        <v>68875402</v>
      </c>
      <c r="H276" s="3">
        <v>0.99710699999999997</v>
      </c>
      <c r="I276">
        <v>34050324</v>
      </c>
      <c r="J276" s="3">
        <v>0.49294500000000002</v>
      </c>
      <c r="K276">
        <v>35024938</v>
      </c>
      <c r="L276" s="3">
        <v>0.50705500000000003</v>
      </c>
      <c r="M276">
        <v>27223091</v>
      </c>
      <c r="N276" s="3">
        <v>0.39410800000000001</v>
      </c>
      <c r="Q276">
        <v>68768978</v>
      </c>
      <c r="R276" s="3">
        <v>0.99556599999999995</v>
      </c>
      <c r="S276">
        <v>34457676</v>
      </c>
      <c r="T276">
        <v>34617586</v>
      </c>
      <c r="U276">
        <v>106424</v>
      </c>
      <c r="V276" s="3">
        <v>1.5407000000000001E-3</v>
      </c>
      <c r="W276">
        <v>22767.5</v>
      </c>
      <c r="X276">
        <v>147</v>
      </c>
    </row>
    <row r="277" spans="1:24" x14ac:dyDescent="0.3">
      <c r="A277" t="s">
        <v>294</v>
      </c>
      <c r="B277" t="s">
        <v>295</v>
      </c>
      <c r="C277" t="s">
        <v>97</v>
      </c>
      <c r="D277" t="s">
        <v>354</v>
      </c>
      <c r="F277">
        <v>85378952</v>
      </c>
      <c r="G277">
        <v>85080884</v>
      </c>
      <c r="H277" s="3">
        <v>0.99650899999999998</v>
      </c>
      <c r="I277">
        <v>42170834</v>
      </c>
      <c r="J277" s="3">
        <v>0.493925</v>
      </c>
      <c r="K277">
        <v>43208118</v>
      </c>
      <c r="L277" s="3">
        <v>0.50607500000000005</v>
      </c>
      <c r="M277">
        <v>35382027</v>
      </c>
      <c r="N277" s="3">
        <v>0.414412</v>
      </c>
      <c r="Q277">
        <v>84945441</v>
      </c>
      <c r="R277" s="3">
        <v>0.99492199999999997</v>
      </c>
      <c r="S277">
        <v>42595166</v>
      </c>
      <c r="T277">
        <v>42783786</v>
      </c>
      <c r="U277">
        <v>135443</v>
      </c>
      <c r="V277" s="3">
        <v>1.5863699999999999E-3</v>
      </c>
      <c r="W277">
        <v>20838</v>
      </c>
      <c r="X277">
        <v>150</v>
      </c>
    </row>
    <row r="278" spans="1:24" x14ac:dyDescent="0.3">
      <c r="A278" t="s">
        <v>294</v>
      </c>
      <c r="B278" t="s">
        <v>295</v>
      </c>
      <c r="C278" t="s">
        <v>97</v>
      </c>
      <c r="D278" t="s">
        <v>355</v>
      </c>
      <c r="F278">
        <v>90350419</v>
      </c>
      <c r="G278">
        <v>90098763</v>
      </c>
      <c r="H278" s="3">
        <v>0.99721499999999996</v>
      </c>
      <c r="I278">
        <v>44542915</v>
      </c>
      <c r="J278" s="3">
        <v>0.493002</v>
      </c>
      <c r="K278">
        <v>45807504</v>
      </c>
      <c r="L278" s="3">
        <v>0.50699799999999995</v>
      </c>
      <c r="M278">
        <v>35717366</v>
      </c>
      <c r="N278" s="3">
        <v>0.39532</v>
      </c>
      <c r="Q278">
        <v>89964268</v>
      </c>
      <c r="R278" s="3">
        <v>0.995726</v>
      </c>
      <c r="S278">
        <v>45064366</v>
      </c>
      <c r="T278">
        <v>45286053</v>
      </c>
      <c r="U278">
        <v>134495</v>
      </c>
      <c r="V278" s="3">
        <v>1.4885899999999999E-3</v>
      </c>
      <c r="W278">
        <v>22256.2</v>
      </c>
      <c r="X278">
        <v>152</v>
      </c>
    </row>
    <row r="279" spans="1:24" x14ac:dyDescent="0.3">
      <c r="A279" t="s">
        <v>294</v>
      </c>
      <c r="B279" t="s">
        <v>295</v>
      </c>
      <c r="C279" t="s">
        <v>97</v>
      </c>
      <c r="D279" t="s">
        <v>356</v>
      </c>
      <c r="F279">
        <v>73780140</v>
      </c>
      <c r="G279">
        <v>73468496</v>
      </c>
      <c r="H279" s="3">
        <v>0.99577599999999999</v>
      </c>
      <c r="I279">
        <v>36442505</v>
      </c>
      <c r="J279" s="3">
        <v>0.49393399999999998</v>
      </c>
      <c r="K279">
        <v>37337635</v>
      </c>
      <c r="L279" s="3">
        <v>0.50606600000000002</v>
      </c>
      <c r="M279">
        <v>31109854</v>
      </c>
      <c r="N279" s="3">
        <v>0.42165599999999998</v>
      </c>
      <c r="Q279">
        <v>73352224</v>
      </c>
      <c r="R279" s="3">
        <v>0.99419999999999997</v>
      </c>
      <c r="S279">
        <v>36811568</v>
      </c>
      <c r="T279">
        <v>36968572</v>
      </c>
      <c r="U279">
        <v>116272</v>
      </c>
      <c r="V279" s="3">
        <v>1.5759299999999999E-3</v>
      </c>
      <c r="W279">
        <v>21440</v>
      </c>
      <c r="X279">
        <v>148</v>
      </c>
    </row>
    <row r="280" spans="1:24" x14ac:dyDescent="0.3">
      <c r="A280" t="s">
        <v>294</v>
      </c>
      <c r="B280" t="s">
        <v>295</v>
      </c>
      <c r="C280" t="s">
        <v>97</v>
      </c>
      <c r="D280" t="s">
        <v>357</v>
      </c>
      <c r="F280">
        <v>75979403</v>
      </c>
      <c r="G280">
        <v>75724250</v>
      </c>
      <c r="H280" s="3">
        <v>0.99664200000000003</v>
      </c>
      <c r="I280">
        <v>37433042</v>
      </c>
      <c r="J280" s="3">
        <v>0.492674</v>
      </c>
      <c r="K280">
        <v>38546361</v>
      </c>
      <c r="L280" s="3">
        <v>0.50732600000000005</v>
      </c>
      <c r="M280">
        <v>30314062</v>
      </c>
      <c r="N280" s="3">
        <v>0.39897700000000003</v>
      </c>
      <c r="Q280">
        <v>75598822</v>
      </c>
      <c r="R280" s="3">
        <v>0.99499099999999996</v>
      </c>
      <c r="S280">
        <v>37930799</v>
      </c>
      <c r="T280">
        <v>38048604</v>
      </c>
      <c r="U280">
        <v>125428</v>
      </c>
      <c r="V280" s="3">
        <v>1.6508199999999999E-3</v>
      </c>
      <c r="W280">
        <v>23994</v>
      </c>
      <c r="X280">
        <v>151</v>
      </c>
    </row>
    <row r="281" spans="1:24" x14ac:dyDescent="0.3">
      <c r="A281" t="s">
        <v>294</v>
      </c>
      <c r="B281" t="s">
        <v>295</v>
      </c>
      <c r="C281" t="s">
        <v>97</v>
      </c>
      <c r="D281" t="s">
        <v>358</v>
      </c>
      <c r="F281">
        <v>83959030</v>
      </c>
      <c r="G281">
        <v>83695865</v>
      </c>
      <c r="H281" s="3">
        <v>0.99686600000000003</v>
      </c>
      <c r="I281">
        <v>41366041</v>
      </c>
      <c r="J281" s="3">
        <v>0.49269299999999999</v>
      </c>
      <c r="K281">
        <v>42592989</v>
      </c>
      <c r="L281" s="3">
        <v>0.50730699999999995</v>
      </c>
      <c r="M281">
        <v>33823151</v>
      </c>
      <c r="N281" s="3">
        <v>0.40285300000000002</v>
      </c>
      <c r="Q281">
        <v>83565603</v>
      </c>
      <c r="R281" s="3">
        <v>0.99531400000000003</v>
      </c>
      <c r="S281">
        <v>41916465</v>
      </c>
      <c r="T281">
        <v>42042565</v>
      </c>
      <c r="U281">
        <v>130262</v>
      </c>
      <c r="V281" s="3">
        <v>1.55149E-3</v>
      </c>
      <c r="W281">
        <v>23256.3</v>
      </c>
      <c r="X281">
        <v>153</v>
      </c>
    </row>
    <row r="282" spans="1:24" x14ac:dyDescent="0.3">
      <c r="A282" t="s">
        <v>476</v>
      </c>
      <c r="B282" t="s">
        <v>295</v>
      </c>
      <c r="C282" t="s">
        <v>253</v>
      </c>
      <c r="D282" t="s">
        <v>482</v>
      </c>
      <c r="F282">
        <v>71224214</v>
      </c>
      <c r="G282">
        <v>70445124</v>
      </c>
      <c r="H282" s="3">
        <v>0.98906099999999997</v>
      </c>
      <c r="I282">
        <v>35897184</v>
      </c>
      <c r="J282" s="3">
        <v>0.50400199999999995</v>
      </c>
      <c r="K282">
        <v>35327030</v>
      </c>
      <c r="L282" s="3">
        <v>0.49599799999999999</v>
      </c>
      <c r="M282">
        <v>0</v>
      </c>
      <c r="N282" s="3">
        <v>0</v>
      </c>
      <c r="O282">
        <v>0</v>
      </c>
      <c r="P282" s="3">
        <v>1</v>
      </c>
      <c r="Q282">
        <v>70178899</v>
      </c>
      <c r="R282" s="3">
        <v>0.98532399999999998</v>
      </c>
      <c r="S282">
        <v>35329905</v>
      </c>
      <c r="T282">
        <v>35894309</v>
      </c>
      <c r="U282">
        <v>266225</v>
      </c>
      <c r="V282" s="3">
        <v>3.7378400000000001E-3</v>
      </c>
      <c r="W282">
        <v>175817</v>
      </c>
      <c r="X282">
        <v>226</v>
      </c>
    </row>
    <row r="283" spans="1:24" x14ac:dyDescent="0.3">
      <c r="A283" t="s">
        <v>476</v>
      </c>
      <c r="B283" t="s">
        <v>295</v>
      </c>
      <c r="C283" t="s">
        <v>253</v>
      </c>
      <c r="D283" t="s">
        <v>484</v>
      </c>
      <c r="F283">
        <v>74970794</v>
      </c>
      <c r="G283">
        <v>74130273</v>
      </c>
      <c r="H283" s="3">
        <v>0.98878900000000003</v>
      </c>
      <c r="I283">
        <v>37794783</v>
      </c>
      <c r="J283" s="3">
        <v>0.50412699999999999</v>
      </c>
      <c r="K283">
        <v>37176011</v>
      </c>
      <c r="L283" s="3">
        <v>0.49587300000000001</v>
      </c>
      <c r="M283">
        <v>0</v>
      </c>
      <c r="N283" s="3">
        <v>0</v>
      </c>
      <c r="O283">
        <v>0</v>
      </c>
      <c r="P283" s="3">
        <v>1</v>
      </c>
      <c r="Q283">
        <v>73852873</v>
      </c>
      <c r="R283" s="3">
        <v>0.98508899999999999</v>
      </c>
      <c r="S283">
        <v>37277565</v>
      </c>
      <c r="T283">
        <v>37693229</v>
      </c>
      <c r="U283">
        <v>277400</v>
      </c>
      <c r="V283" s="3">
        <v>3.7001099999999999E-3</v>
      </c>
      <c r="W283">
        <v>149087</v>
      </c>
      <c r="X283">
        <v>216</v>
      </c>
    </row>
    <row r="284" spans="1:24" x14ac:dyDescent="0.3">
      <c r="A284" t="s">
        <v>476</v>
      </c>
      <c r="B284" t="s">
        <v>295</v>
      </c>
      <c r="C284" t="s">
        <v>253</v>
      </c>
      <c r="D284" t="s">
        <v>486</v>
      </c>
      <c r="F284">
        <v>66823777</v>
      </c>
      <c r="G284">
        <v>65848346</v>
      </c>
      <c r="H284" s="3">
        <v>0.98540300000000003</v>
      </c>
      <c r="I284">
        <v>33757155</v>
      </c>
      <c r="J284" s="3">
        <v>0.50516700000000003</v>
      </c>
      <c r="K284">
        <v>33066622</v>
      </c>
      <c r="L284" s="3">
        <v>0.49483300000000002</v>
      </c>
      <c r="M284">
        <v>0</v>
      </c>
      <c r="N284" s="3">
        <v>0</v>
      </c>
      <c r="O284">
        <v>0</v>
      </c>
      <c r="P284" s="3">
        <v>1</v>
      </c>
      <c r="Q284">
        <v>65567333</v>
      </c>
      <c r="R284" s="3">
        <v>0.98119800000000001</v>
      </c>
      <c r="S284">
        <v>33132914</v>
      </c>
      <c r="T284">
        <v>33690863</v>
      </c>
      <c r="U284">
        <v>281013</v>
      </c>
      <c r="V284" s="3">
        <v>4.2052799999999996E-3</v>
      </c>
      <c r="W284">
        <v>157800</v>
      </c>
      <c r="X284">
        <v>226</v>
      </c>
    </row>
    <row r="285" spans="1:24" x14ac:dyDescent="0.3">
      <c r="A285" t="s">
        <v>476</v>
      </c>
      <c r="B285" t="s">
        <v>295</v>
      </c>
      <c r="C285" t="s">
        <v>253</v>
      </c>
      <c r="D285" t="s">
        <v>485</v>
      </c>
      <c r="F285">
        <v>71093222</v>
      </c>
      <c r="G285">
        <v>69967746</v>
      </c>
      <c r="H285" s="3">
        <v>0.98416899999999996</v>
      </c>
      <c r="I285">
        <v>36014605</v>
      </c>
      <c r="J285" s="3">
        <v>0.50658300000000001</v>
      </c>
      <c r="K285">
        <v>35078617</v>
      </c>
      <c r="L285" s="3">
        <v>0.49341699999999999</v>
      </c>
      <c r="M285">
        <v>0</v>
      </c>
      <c r="N285" s="3">
        <v>0</v>
      </c>
      <c r="O285">
        <v>0</v>
      </c>
      <c r="P285" s="3">
        <v>1</v>
      </c>
      <c r="Q285">
        <v>69633965</v>
      </c>
      <c r="R285" s="3">
        <v>0.97947399999999996</v>
      </c>
      <c r="S285">
        <v>35348912</v>
      </c>
      <c r="T285">
        <v>35744310</v>
      </c>
      <c r="U285">
        <v>333781</v>
      </c>
      <c r="V285" s="3">
        <v>4.6949799999999996E-3</v>
      </c>
      <c r="W285">
        <v>171097</v>
      </c>
      <c r="X285">
        <v>241</v>
      </c>
    </row>
    <row r="286" spans="1:24" x14ac:dyDescent="0.3">
      <c r="A286" t="s">
        <v>476</v>
      </c>
      <c r="B286" t="s">
        <v>295</v>
      </c>
      <c r="C286" t="s">
        <v>253</v>
      </c>
      <c r="D286" t="s">
        <v>481</v>
      </c>
      <c r="F286">
        <v>54877467</v>
      </c>
      <c r="G286">
        <v>53999629</v>
      </c>
      <c r="H286" s="3">
        <v>0.98400399999999999</v>
      </c>
      <c r="I286">
        <v>27727793</v>
      </c>
      <c r="J286" s="3">
        <v>0.50526700000000002</v>
      </c>
      <c r="K286">
        <v>27149674</v>
      </c>
      <c r="L286" s="3">
        <v>0.49473299999999998</v>
      </c>
      <c r="M286">
        <v>0</v>
      </c>
      <c r="N286" s="3">
        <v>0</v>
      </c>
      <c r="O286">
        <v>0</v>
      </c>
      <c r="P286" s="3">
        <v>1</v>
      </c>
      <c r="Q286">
        <v>53740738</v>
      </c>
      <c r="R286" s="3">
        <v>0.97928599999999999</v>
      </c>
      <c r="S286">
        <v>27156597</v>
      </c>
      <c r="T286">
        <v>27720870</v>
      </c>
      <c r="U286">
        <v>258891</v>
      </c>
      <c r="V286" s="3">
        <v>4.7176199999999996E-3</v>
      </c>
      <c r="W286">
        <v>182043</v>
      </c>
      <c r="X286">
        <v>241</v>
      </c>
    </row>
    <row r="287" spans="1:24" x14ac:dyDescent="0.3">
      <c r="A287" t="s">
        <v>476</v>
      </c>
      <c r="B287" t="s">
        <v>295</v>
      </c>
      <c r="C287" t="s">
        <v>253</v>
      </c>
      <c r="D287" t="s">
        <v>480</v>
      </c>
      <c r="F287">
        <v>52683465</v>
      </c>
      <c r="G287">
        <v>51305207</v>
      </c>
      <c r="H287" s="3">
        <v>0.97383900000000001</v>
      </c>
      <c r="I287">
        <v>26950780</v>
      </c>
      <c r="J287" s="3">
        <v>0.51156100000000004</v>
      </c>
      <c r="K287">
        <v>25732685</v>
      </c>
      <c r="L287" s="3">
        <v>0.48843900000000001</v>
      </c>
      <c r="M287">
        <v>0</v>
      </c>
      <c r="N287" s="3">
        <v>0</v>
      </c>
      <c r="O287">
        <v>0</v>
      </c>
      <c r="P287" s="3">
        <v>1</v>
      </c>
      <c r="Q287">
        <v>51021507</v>
      </c>
      <c r="R287" s="3">
        <v>0.96845400000000004</v>
      </c>
      <c r="S287">
        <v>26138824</v>
      </c>
      <c r="T287">
        <v>26544641</v>
      </c>
      <c r="U287">
        <v>283700</v>
      </c>
      <c r="V287" s="3">
        <v>5.3849900000000001E-3</v>
      </c>
      <c r="W287">
        <v>198593</v>
      </c>
      <c r="X287">
        <v>269</v>
      </c>
    </row>
    <row r="288" spans="1:24" x14ac:dyDescent="0.3">
      <c r="A288" t="s">
        <v>476</v>
      </c>
      <c r="B288" t="s">
        <v>295</v>
      </c>
      <c r="C288" t="s">
        <v>253</v>
      </c>
      <c r="D288" t="s">
        <v>483</v>
      </c>
      <c r="F288">
        <v>75503437</v>
      </c>
      <c r="G288">
        <v>72050509</v>
      </c>
      <c r="H288" s="3">
        <v>0.95426800000000001</v>
      </c>
      <c r="I288">
        <v>39374287</v>
      </c>
      <c r="J288" s="3">
        <v>0.52149000000000001</v>
      </c>
      <c r="K288">
        <v>36129150</v>
      </c>
      <c r="L288" s="3">
        <v>0.47850999999999999</v>
      </c>
      <c r="M288">
        <v>0</v>
      </c>
      <c r="N288" s="3">
        <v>0</v>
      </c>
      <c r="O288">
        <v>0</v>
      </c>
      <c r="P288" s="3">
        <v>1</v>
      </c>
      <c r="Q288">
        <v>71567074</v>
      </c>
      <c r="R288" s="3">
        <v>0.94786499999999996</v>
      </c>
      <c r="S288">
        <v>37467996</v>
      </c>
      <c r="T288">
        <v>38035441</v>
      </c>
      <c r="U288">
        <v>483435</v>
      </c>
      <c r="V288" s="3">
        <v>6.40282E-3</v>
      </c>
      <c r="W288">
        <v>172154</v>
      </c>
      <c r="X288">
        <v>214</v>
      </c>
    </row>
    <row r="289" spans="1:24" x14ac:dyDescent="0.3">
      <c r="A289" t="s">
        <v>476</v>
      </c>
      <c r="B289" t="s">
        <v>295</v>
      </c>
      <c r="C289" t="s">
        <v>253</v>
      </c>
      <c r="D289" t="s">
        <v>477</v>
      </c>
    </row>
    <row r="290" spans="1:24" x14ac:dyDescent="0.3">
      <c r="A290" t="s">
        <v>476</v>
      </c>
      <c r="B290" t="s">
        <v>295</v>
      </c>
      <c r="C290" t="s">
        <v>253</v>
      </c>
      <c r="D290" t="s">
        <v>478</v>
      </c>
      <c r="F290">
        <v>51677125</v>
      </c>
      <c r="G290">
        <v>51023258</v>
      </c>
      <c r="H290" s="3">
        <v>0.98734699999999997</v>
      </c>
      <c r="I290">
        <v>26093906</v>
      </c>
      <c r="J290" s="3">
        <v>0.50494099999999997</v>
      </c>
      <c r="K290">
        <v>25583219</v>
      </c>
      <c r="L290" s="3">
        <v>0.49505900000000003</v>
      </c>
      <c r="Q290">
        <v>50803378</v>
      </c>
      <c r="R290" s="3">
        <v>0.98309199999999997</v>
      </c>
      <c r="S290">
        <v>25662423</v>
      </c>
      <c r="T290">
        <v>26014702</v>
      </c>
      <c r="U290">
        <v>219880</v>
      </c>
      <c r="V290" s="3">
        <v>4.2548799999999999E-3</v>
      </c>
      <c r="W290">
        <v>164250</v>
      </c>
      <c r="X290">
        <v>218</v>
      </c>
    </row>
    <row r="291" spans="1:24" x14ac:dyDescent="0.3">
      <c r="A291" t="s">
        <v>476</v>
      </c>
      <c r="B291" t="s">
        <v>295</v>
      </c>
      <c r="C291" t="s">
        <v>253</v>
      </c>
      <c r="D291" t="s">
        <v>479</v>
      </c>
      <c r="F291">
        <v>70051944</v>
      </c>
      <c r="G291">
        <v>69366260</v>
      </c>
      <c r="H291" s="3">
        <v>0.99021199999999998</v>
      </c>
      <c r="I291">
        <v>35260937</v>
      </c>
      <c r="J291" s="3">
        <v>0.50335399999999997</v>
      </c>
      <c r="K291">
        <v>34791007</v>
      </c>
      <c r="L291" s="3">
        <v>0.49664599999999998</v>
      </c>
      <c r="Q291">
        <v>69118457</v>
      </c>
      <c r="R291" s="3">
        <v>0.98667400000000005</v>
      </c>
      <c r="S291">
        <v>34745368</v>
      </c>
      <c r="T291">
        <v>35306576</v>
      </c>
      <c r="U291">
        <v>247803</v>
      </c>
      <c r="V291" s="3">
        <v>3.5374199999999999E-3</v>
      </c>
      <c r="W291">
        <v>172111</v>
      </c>
      <c r="X291">
        <v>214</v>
      </c>
    </row>
    <row r="292" spans="1:24" x14ac:dyDescent="0.3">
      <c r="A292" t="s">
        <v>476</v>
      </c>
      <c r="B292" t="s">
        <v>295</v>
      </c>
      <c r="C292" t="s">
        <v>253</v>
      </c>
      <c r="D292" t="s">
        <v>487</v>
      </c>
      <c r="F292">
        <v>65684004</v>
      </c>
      <c r="G292">
        <v>64718314</v>
      </c>
      <c r="H292" s="3">
        <v>0.98529800000000001</v>
      </c>
      <c r="I292">
        <v>33226491</v>
      </c>
      <c r="J292" s="3">
        <v>0.50585400000000003</v>
      </c>
      <c r="K292">
        <v>32457513</v>
      </c>
      <c r="L292" s="3">
        <v>0.49414599999999997</v>
      </c>
      <c r="Q292">
        <v>64447438</v>
      </c>
      <c r="R292" s="3">
        <v>0.98117399999999999</v>
      </c>
      <c r="S292">
        <v>32637630</v>
      </c>
      <c r="T292">
        <v>33046374</v>
      </c>
      <c r="U292">
        <v>270876</v>
      </c>
      <c r="V292" s="3">
        <v>4.1239299999999996E-3</v>
      </c>
      <c r="W292">
        <v>161575</v>
      </c>
      <c r="X292">
        <v>229</v>
      </c>
    </row>
    <row r="293" spans="1:24" x14ac:dyDescent="0.3">
      <c r="A293" t="s">
        <v>476</v>
      </c>
      <c r="B293" t="s">
        <v>295</v>
      </c>
      <c r="C293" t="s">
        <v>253</v>
      </c>
      <c r="D293" t="s">
        <v>488</v>
      </c>
      <c r="F293">
        <v>71578219</v>
      </c>
      <c r="G293">
        <v>70773731</v>
      </c>
      <c r="H293" s="3">
        <v>0.988761</v>
      </c>
      <c r="I293">
        <v>36069054</v>
      </c>
      <c r="J293" s="3">
        <v>0.503911</v>
      </c>
      <c r="K293">
        <v>35509165</v>
      </c>
      <c r="L293" s="3">
        <v>0.496089</v>
      </c>
      <c r="Q293">
        <v>70495821</v>
      </c>
      <c r="R293" s="3">
        <v>0.98487800000000003</v>
      </c>
      <c r="S293">
        <v>35488763</v>
      </c>
      <c r="T293">
        <v>36089456</v>
      </c>
      <c r="U293">
        <v>277910</v>
      </c>
      <c r="V293" s="3">
        <v>3.8826099999999999E-3</v>
      </c>
      <c r="W293">
        <v>173729</v>
      </c>
      <c r="X293">
        <v>217</v>
      </c>
    </row>
    <row r="294" spans="1:24" x14ac:dyDescent="0.3">
      <c r="A294" t="s">
        <v>476</v>
      </c>
      <c r="B294" t="s">
        <v>295</v>
      </c>
      <c r="C294" t="s">
        <v>253</v>
      </c>
      <c r="D294" t="s">
        <v>489</v>
      </c>
      <c r="F294">
        <v>65216475</v>
      </c>
      <c r="G294">
        <v>64302755</v>
      </c>
      <c r="H294" s="3">
        <v>0.985989</v>
      </c>
      <c r="I294">
        <v>32966255</v>
      </c>
      <c r="J294" s="3">
        <v>0.50548999999999999</v>
      </c>
      <c r="K294">
        <v>32250220</v>
      </c>
      <c r="L294" s="3">
        <v>0.49451000000000001</v>
      </c>
      <c r="Q294">
        <v>64022576</v>
      </c>
      <c r="R294" s="3">
        <v>0.98169300000000004</v>
      </c>
      <c r="S294">
        <v>32410012</v>
      </c>
      <c r="T294">
        <v>32806463</v>
      </c>
      <c r="U294">
        <v>280179</v>
      </c>
      <c r="V294" s="3">
        <v>4.2961400000000004E-3</v>
      </c>
      <c r="W294">
        <v>168110</v>
      </c>
      <c r="X294">
        <v>227</v>
      </c>
    </row>
    <row r="295" spans="1:24" x14ac:dyDescent="0.3">
      <c r="A295" t="s">
        <v>476</v>
      </c>
      <c r="B295" t="s">
        <v>295</v>
      </c>
      <c r="C295" t="s">
        <v>253</v>
      </c>
      <c r="D295" t="s">
        <v>490</v>
      </c>
    </row>
    <row r="296" spans="1:24" x14ac:dyDescent="0.3">
      <c r="A296" t="s">
        <v>476</v>
      </c>
      <c r="B296" t="s">
        <v>295</v>
      </c>
      <c r="C296" t="s">
        <v>253</v>
      </c>
      <c r="D296" t="s">
        <v>491</v>
      </c>
    </row>
    <row r="297" spans="1:24" x14ac:dyDescent="0.3">
      <c r="A297" t="s">
        <v>476</v>
      </c>
      <c r="B297" t="s">
        <v>295</v>
      </c>
      <c r="C297" t="s">
        <v>253</v>
      </c>
      <c r="D297" t="s">
        <v>492</v>
      </c>
      <c r="F297">
        <v>62800224</v>
      </c>
      <c r="G297">
        <v>62032371</v>
      </c>
      <c r="H297" s="3">
        <v>0.98777300000000001</v>
      </c>
      <c r="I297">
        <v>31707110</v>
      </c>
      <c r="J297" s="3">
        <v>0.504888</v>
      </c>
      <c r="K297">
        <v>31093114</v>
      </c>
      <c r="L297" s="3">
        <v>0.495112</v>
      </c>
      <c r="Q297">
        <v>61782024</v>
      </c>
      <c r="R297" s="3">
        <v>0.98378699999999997</v>
      </c>
      <c r="S297">
        <v>31207800</v>
      </c>
      <c r="T297">
        <v>31592424</v>
      </c>
      <c r="U297">
        <v>250347</v>
      </c>
      <c r="V297" s="3">
        <v>3.9864000000000002E-3</v>
      </c>
      <c r="W297">
        <v>171898</v>
      </c>
      <c r="X297">
        <v>236</v>
      </c>
    </row>
    <row r="298" spans="1:24" x14ac:dyDescent="0.3">
      <c r="A298" t="s">
        <v>476</v>
      </c>
      <c r="B298" t="s">
        <v>295</v>
      </c>
      <c r="C298" t="s">
        <v>253</v>
      </c>
      <c r="D298" t="s">
        <v>493</v>
      </c>
      <c r="F298">
        <v>51374280</v>
      </c>
      <c r="G298">
        <v>50652797</v>
      </c>
      <c r="H298" s="3">
        <v>0.98595600000000005</v>
      </c>
      <c r="I298">
        <v>25957408</v>
      </c>
      <c r="J298" s="3">
        <v>0.50526099999999996</v>
      </c>
      <c r="K298">
        <v>25416872</v>
      </c>
      <c r="L298" s="3">
        <v>0.49473899999999998</v>
      </c>
      <c r="Q298">
        <v>50426792</v>
      </c>
      <c r="R298" s="3">
        <v>0.98155700000000001</v>
      </c>
      <c r="S298">
        <v>25500619</v>
      </c>
      <c r="T298">
        <v>25873661</v>
      </c>
      <c r="U298">
        <v>226005</v>
      </c>
      <c r="V298" s="3">
        <v>4.3991899999999999E-3</v>
      </c>
      <c r="W298">
        <v>169878</v>
      </c>
      <c r="X298">
        <v>221</v>
      </c>
    </row>
    <row r="299" spans="1:24" x14ac:dyDescent="0.3">
      <c r="A299" t="s">
        <v>476</v>
      </c>
      <c r="B299" t="s">
        <v>295</v>
      </c>
      <c r="C299" t="s">
        <v>253</v>
      </c>
      <c r="D299" t="s">
        <v>494</v>
      </c>
      <c r="F299">
        <v>57777259</v>
      </c>
      <c r="G299">
        <v>57101186</v>
      </c>
      <c r="H299" s="3">
        <v>0.98829900000000004</v>
      </c>
      <c r="I299">
        <v>29137431</v>
      </c>
      <c r="J299" s="3">
        <v>0.50430600000000003</v>
      </c>
      <c r="K299">
        <v>28639828</v>
      </c>
      <c r="L299" s="3">
        <v>0.49569400000000002</v>
      </c>
      <c r="Q299">
        <v>56860526</v>
      </c>
      <c r="R299" s="3">
        <v>0.98413300000000004</v>
      </c>
      <c r="S299">
        <v>28666712</v>
      </c>
      <c r="T299">
        <v>29110547</v>
      </c>
      <c r="U299">
        <v>240660</v>
      </c>
      <c r="V299" s="3">
        <v>4.1653100000000002E-3</v>
      </c>
      <c r="W299">
        <v>184739</v>
      </c>
      <c r="X299">
        <v>261</v>
      </c>
    </row>
    <row r="300" spans="1:24" x14ac:dyDescent="0.3">
      <c r="A300" t="s">
        <v>476</v>
      </c>
      <c r="B300" t="s">
        <v>295</v>
      </c>
      <c r="C300" t="s">
        <v>253</v>
      </c>
      <c r="D300" t="s">
        <v>495</v>
      </c>
    </row>
    <row r="301" spans="1:24" x14ac:dyDescent="0.3">
      <c r="A301" t="s">
        <v>476</v>
      </c>
      <c r="B301" t="s">
        <v>295</v>
      </c>
      <c r="C301" t="s">
        <v>253</v>
      </c>
      <c r="D301" t="s">
        <v>496</v>
      </c>
    </row>
    <row r="302" spans="1:24" x14ac:dyDescent="0.3">
      <c r="A302" t="s">
        <v>476</v>
      </c>
      <c r="B302" t="s">
        <v>295</v>
      </c>
      <c r="C302" t="s">
        <v>253</v>
      </c>
      <c r="D302" t="s">
        <v>497</v>
      </c>
    </row>
    <row r="303" spans="1:24" x14ac:dyDescent="0.3">
      <c r="A303" t="s">
        <v>476</v>
      </c>
      <c r="B303" t="s">
        <v>295</v>
      </c>
      <c r="C303" t="s">
        <v>253</v>
      </c>
      <c r="D303" t="s">
        <v>498</v>
      </c>
      <c r="F303">
        <v>58974114</v>
      </c>
      <c r="G303">
        <v>58192086</v>
      </c>
      <c r="H303" s="3">
        <v>0.98673999999999995</v>
      </c>
      <c r="I303">
        <v>29775595</v>
      </c>
      <c r="J303" s="3">
        <v>0.50489300000000004</v>
      </c>
      <c r="K303">
        <v>29198519</v>
      </c>
      <c r="L303" s="3">
        <v>0.49510700000000002</v>
      </c>
      <c r="Q303">
        <v>57930201</v>
      </c>
      <c r="R303" s="3">
        <v>0.98229900000000003</v>
      </c>
      <c r="S303">
        <v>29252617</v>
      </c>
      <c r="T303">
        <v>29721497</v>
      </c>
      <c r="U303">
        <v>261885</v>
      </c>
      <c r="V303" s="3">
        <v>4.4406799999999998E-3</v>
      </c>
      <c r="W303">
        <v>169730</v>
      </c>
      <c r="X303">
        <v>220</v>
      </c>
    </row>
    <row r="304" spans="1:24" x14ac:dyDescent="0.3">
      <c r="A304" t="s">
        <v>476</v>
      </c>
      <c r="B304" t="s">
        <v>295</v>
      </c>
      <c r="C304" t="s">
        <v>253</v>
      </c>
      <c r="D304" t="s">
        <v>499</v>
      </c>
    </row>
    <row r="305" spans="1:24" x14ac:dyDescent="0.3">
      <c r="A305" t="s">
        <v>476</v>
      </c>
      <c r="B305" t="s">
        <v>295</v>
      </c>
      <c r="C305" t="s">
        <v>253</v>
      </c>
      <c r="D305" t="s">
        <v>500</v>
      </c>
      <c r="F305">
        <v>62460599</v>
      </c>
      <c r="G305">
        <v>61659063</v>
      </c>
      <c r="H305" s="3">
        <v>0.98716700000000002</v>
      </c>
      <c r="I305">
        <v>31533172</v>
      </c>
      <c r="J305" s="3">
        <v>0.50484899999999999</v>
      </c>
      <c r="K305">
        <v>30927427</v>
      </c>
      <c r="L305" s="3">
        <v>0.49515100000000001</v>
      </c>
      <c r="Q305">
        <v>61411128</v>
      </c>
      <c r="R305" s="3">
        <v>0.98319800000000002</v>
      </c>
      <c r="S305">
        <v>30975365</v>
      </c>
      <c r="T305">
        <v>31485234</v>
      </c>
      <c r="U305">
        <v>247935</v>
      </c>
      <c r="V305" s="3">
        <v>3.9694600000000002E-3</v>
      </c>
      <c r="W305">
        <v>173551</v>
      </c>
      <c r="X305">
        <v>216</v>
      </c>
    </row>
    <row r="306" spans="1:24" x14ac:dyDescent="0.3">
      <c r="A306" t="s">
        <v>476</v>
      </c>
      <c r="B306" t="s">
        <v>295</v>
      </c>
      <c r="C306" t="s">
        <v>142</v>
      </c>
      <c r="D306" t="s">
        <v>484</v>
      </c>
      <c r="F306">
        <v>36337747</v>
      </c>
      <c r="G306">
        <v>16399823</v>
      </c>
      <c r="H306" s="3">
        <v>0.45100000000000001</v>
      </c>
    </row>
    <row r="307" spans="1:24" x14ac:dyDescent="0.3">
      <c r="A307" t="s">
        <v>476</v>
      </c>
      <c r="B307" t="s">
        <v>295</v>
      </c>
      <c r="C307" t="s">
        <v>142</v>
      </c>
      <c r="D307" t="s">
        <v>486</v>
      </c>
      <c r="F307">
        <v>32446793</v>
      </c>
      <c r="G307">
        <v>13941082</v>
      </c>
      <c r="H307" s="3">
        <v>0.43</v>
      </c>
    </row>
    <row r="308" spans="1:24" x14ac:dyDescent="0.3">
      <c r="A308" t="s">
        <v>476</v>
      </c>
      <c r="B308" t="s">
        <v>295</v>
      </c>
      <c r="C308" t="s">
        <v>142</v>
      </c>
      <c r="D308" t="s">
        <v>482</v>
      </c>
      <c r="F308">
        <v>34279413</v>
      </c>
      <c r="G308">
        <v>14304287</v>
      </c>
      <c r="H308" s="3">
        <v>0.41699999999999998</v>
      </c>
    </row>
    <row r="309" spans="1:24" x14ac:dyDescent="0.3">
      <c r="A309" t="s">
        <v>476</v>
      </c>
      <c r="B309" t="s">
        <v>295</v>
      </c>
      <c r="C309" t="s">
        <v>142</v>
      </c>
      <c r="D309" t="s">
        <v>481</v>
      </c>
      <c r="F309">
        <v>26532424</v>
      </c>
      <c r="G309">
        <v>10918160</v>
      </c>
      <c r="H309" s="3">
        <v>0.41199999999999998</v>
      </c>
    </row>
    <row r="310" spans="1:24" x14ac:dyDescent="0.3">
      <c r="A310" t="s">
        <v>476</v>
      </c>
      <c r="B310" t="s">
        <v>295</v>
      </c>
      <c r="C310" t="s">
        <v>142</v>
      </c>
      <c r="D310" t="s">
        <v>485</v>
      </c>
      <c r="F310">
        <v>34363311</v>
      </c>
      <c r="G310">
        <v>14013037</v>
      </c>
      <c r="H310" s="3">
        <v>0.40799999999999997</v>
      </c>
    </row>
    <row r="311" spans="1:24" x14ac:dyDescent="0.3">
      <c r="A311" t="s">
        <v>476</v>
      </c>
      <c r="B311" t="s">
        <v>295</v>
      </c>
      <c r="C311" t="s">
        <v>142</v>
      </c>
      <c r="D311" t="s">
        <v>483</v>
      </c>
      <c r="F311">
        <v>36470602</v>
      </c>
      <c r="G311">
        <v>14160615</v>
      </c>
      <c r="H311" s="3">
        <v>0.38800000000000001</v>
      </c>
    </row>
    <row r="312" spans="1:24" x14ac:dyDescent="0.3">
      <c r="A312" t="s">
        <v>476</v>
      </c>
      <c r="B312" t="s">
        <v>295</v>
      </c>
      <c r="C312" t="s">
        <v>142</v>
      </c>
      <c r="D312" t="s">
        <v>480</v>
      </c>
      <c r="F312">
        <v>25321591</v>
      </c>
      <c r="G312">
        <v>9407493</v>
      </c>
      <c r="H312" s="3">
        <v>0.372</v>
      </c>
    </row>
    <row r="313" spans="1:24" x14ac:dyDescent="0.3">
      <c r="A313" t="s">
        <v>476</v>
      </c>
      <c r="B313" t="s">
        <v>295</v>
      </c>
      <c r="C313" t="s">
        <v>142</v>
      </c>
      <c r="D313" t="s">
        <v>477</v>
      </c>
      <c r="F313">
        <v>36071108</v>
      </c>
      <c r="G313">
        <v>14988075</v>
      </c>
      <c r="H313" s="3">
        <v>0.41599999999999998</v>
      </c>
    </row>
    <row r="314" spans="1:24" x14ac:dyDescent="0.3">
      <c r="A314" t="s">
        <v>476</v>
      </c>
      <c r="B314" t="s">
        <v>295</v>
      </c>
      <c r="C314" t="s">
        <v>142</v>
      </c>
      <c r="D314" t="s">
        <v>478</v>
      </c>
      <c r="F314">
        <v>24966959</v>
      </c>
      <c r="G314">
        <v>10513542</v>
      </c>
      <c r="H314" s="3">
        <v>0.42099999999999999</v>
      </c>
    </row>
    <row r="315" spans="1:24" x14ac:dyDescent="0.3">
      <c r="A315" t="s">
        <v>476</v>
      </c>
      <c r="B315" t="s">
        <v>295</v>
      </c>
      <c r="C315" t="s">
        <v>142</v>
      </c>
      <c r="D315" t="s">
        <v>479</v>
      </c>
      <c r="F315">
        <v>33705877</v>
      </c>
      <c r="G315">
        <v>14108098</v>
      </c>
      <c r="H315" s="3">
        <v>0.41899999999999998</v>
      </c>
    </row>
    <row r="316" spans="1:24" x14ac:dyDescent="0.3">
      <c r="A316" t="s">
        <v>476</v>
      </c>
      <c r="B316" t="s">
        <v>295</v>
      </c>
      <c r="C316" t="s">
        <v>142</v>
      </c>
      <c r="D316" t="s">
        <v>487</v>
      </c>
      <c r="F316">
        <v>31802136</v>
      </c>
      <c r="G316">
        <v>13819173</v>
      </c>
      <c r="H316" s="3">
        <v>0.435</v>
      </c>
    </row>
    <row r="317" spans="1:24" x14ac:dyDescent="0.3">
      <c r="A317" t="s">
        <v>476</v>
      </c>
      <c r="B317" t="s">
        <v>295</v>
      </c>
      <c r="C317" t="s">
        <v>142</v>
      </c>
      <c r="D317" t="s">
        <v>488</v>
      </c>
      <c r="F317">
        <v>34453046</v>
      </c>
      <c r="G317">
        <v>14271736</v>
      </c>
      <c r="H317" s="3">
        <v>0.41399999999999998</v>
      </c>
    </row>
    <row r="318" spans="1:24" x14ac:dyDescent="0.3">
      <c r="A318" t="s">
        <v>476</v>
      </c>
      <c r="B318" t="s">
        <v>295</v>
      </c>
      <c r="C318" t="s">
        <v>142</v>
      </c>
      <c r="D318" t="s">
        <v>489</v>
      </c>
      <c r="F318">
        <v>31518616</v>
      </c>
      <c r="G318">
        <v>13235295</v>
      </c>
      <c r="H318" s="3">
        <v>0.42</v>
      </c>
    </row>
    <row r="319" spans="1:24" x14ac:dyDescent="0.3">
      <c r="A319" t="s">
        <v>476</v>
      </c>
      <c r="B319" t="s">
        <v>295</v>
      </c>
      <c r="C319" t="s">
        <v>142</v>
      </c>
      <c r="D319" t="s">
        <v>490</v>
      </c>
      <c r="F319">
        <v>34880930</v>
      </c>
      <c r="G319">
        <v>14739927</v>
      </c>
      <c r="H319" s="3">
        <v>0.42299999999999999</v>
      </c>
    </row>
    <row r="320" spans="1:24" x14ac:dyDescent="0.3">
      <c r="A320" t="s">
        <v>476</v>
      </c>
      <c r="B320" t="s">
        <v>295</v>
      </c>
      <c r="C320" t="s">
        <v>142</v>
      </c>
      <c r="D320" t="s">
        <v>491</v>
      </c>
      <c r="F320">
        <v>23851825</v>
      </c>
      <c r="G320">
        <v>10172087</v>
      </c>
      <c r="H320" s="3">
        <v>0.42599999999999999</v>
      </c>
    </row>
    <row r="321" spans="1:8" x14ac:dyDescent="0.3">
      <c r="A321" t="s">
        <v>476</v>
      </c>
      <c r="B321" t="s">
        <v>295</v>
      </c>
      <c r="C321" t="s">
        <v>142</v>
      </c>
      <c r="D321" t="s">
        <v>492</v>
      </c>
      <c r="F321">
        <v>30331504</v>
      </c>
      <c r="G321">
        <v>12645676</v>
      </c>
      <c r="H321" s="3">
        <v>0.41699999999999998</v>
      </c>
    </row>
    <row r="322" spans="1:8" x14ac:dyDescent="0.3">
      <c r="A322" t="s">
        <v>476</v>
      </c>
      <c r="B322" t="s">
        <v>295</v>
      </c>
      <c r="C322" t="s">
        <v>142</v>
      </c>
      <c r="D322" t="s">
        <v>493</v>
      </c>
      <c r="F322">
        <v>24803979</v>
      </c>
      <c r="G322">
        <v>10362248</v>
      </c>
      <c r="H322" s="3">
        <v>0.41799999999999998</v>
      </c>
    </row>
    <row r="323" spans="1:8" x14ac:dyDescent="0.3">
      <c r="A323" t="s">
        <v>476</v>
      </c>
      <c r="B323" t="s">
        <v>295</v>
      </c>
      <c r="C323" t="s">
        <v>142</v>
      </c>
      <c r="D323" t="s">
        <v>494</v>
      </c>
      <c r="F323">
        <v>27900120</v>
      </c>
      <c r="G323">
        <v>11675592</v>
      </c>
      <c r="H323" s="3">
        <v>0.41799999999999998</v>
      </c>
    </row>
    <row r="324" spans="1:8" x14ac:dyDescent="0.3">
      <c r="A324" t="s">
        <v>476</v>
      </c>
      <c r="B324" t="s">
        <v>295</v>
      </c>
      <c r="C324" t="s">
        <v>142</v>
      </c>
      <c r="D324" t="s">
        <v>495</v>
      </c>
      <c r="F324">
        <v>27847962</v>
      </c>
      <c r="G324">
        <v>10592560</v>
      </c>
      <c r="H324" s="3">
        <v>0.38</v>
      </c>
    </row>
    <row r="325" spans="1:8" x14ac:dyDescent="0.3">
      <c r="A325" t="s">
        <v>476</v>
      </c>
      <c r="B325" t="s">
        <v>295</v>
      </c>
      <c r="C325" t="s">
        <v>142</v>
      </c>
      <c r="D325" t="s">
        <v>496</v>
      </c>
      <c r="F325">
        <v>30268908</v>
      </c>
      <c r="G325">
        <v>12987993</v>
      </c>
      <c r="H325" s="3">
        <v>0.42899999999999999</v>
      </c>
    </row>
    <row r="326" spans="1:8" x14ac:dyDescent="0.3">
      <c r="A326" t="s">
        <v>476</v>
      </c>
      <c r="B326" t="s">
        <v>295</v>
      </c>
      <c r="C326" t="s">
        <v>142</v>
      </c>
      <c r="D326" t="s">
        <v>497</v>
      </c>
    </row>
    <row r="327" spans="1:8" x14ac:dyDescent="0.3">
      <c r="A327" t="s">
        <v>476</v>
      </c>
      <c r="B327" t="s">
        <v>295</v>
      </c>
      <c r="C327" t="s">
        <v>142</v>
      </c>
      <c r="D327" t="s">
        <v>498</v>
      </c>
      <c r="F327">
        <v>28462357</v>
      </c>
      <c r="G327">
        <v>11844315</v>
      </c>
      <c r="H327" s="3">
        <v>0.41599999999999998</v>
      </c>
    </row>
    <row r="328" spans="1:8" x14ac:dyDescent="0.3">
      <c r="A328" t="s">
        <v>476</v>
      </c>
      <c r="B328" t="s">
        <v>295</v>
      </c>
      <c r="C328" t="s">
        <v>142</v>
      </c>
      <c r="D328" t="s">
        <v>499</v>
      </c>
      <c r="F328">
        <v>25422214</v>
      </c>
      <c r="G328">
        <v>10310412</v>
      </c>
      <c r="H328" s="3">
        <v>0.40600000000000003</v>
      </c>
    </row>
    <row r="329" spans="1:8" x14ac:dyDescent="0.3">
      <c r="A329" t="s">
        <v>476</v>
      </c>
      <c r="B329" t="s">
        <v>295</v>
      </c>
      <c r="C329" t="s">
        <v>142</v>
      </c>
      <c r="D329" t="s">
        <v>500</v>
      </c>
      <c r="F329">
        <v>30055918</v>
      </c>
      <c r="G329">
        <v>12404741</v>
      </c>
      <c r="H329" s="3">
        <v>0.41299999999999998</v>
      </c>
    </row>
    <row r="330" spans="1:8" x14ac:dyDescent="0.3">
      <c r="A330" t="s">
        <v>476</v>
      </c>
      <c r="B330" t="s">
        <v>295</v>
      </c>
      <c r="C330" t="s">
        <v>254</v>
      </c>
      <c r="D330" t="s">
        <v>484</v>
      </c>
      <c r="F330">
        <v>36337747</v>
      </c>
      <c r="G330">
        <v>28430065</v>
      </c>
      <c r="H330" s="3">
        <v>0.78200000000000003</v>
      </c>
    </row>
    <row r="331" spans="1:8" x14ac:dyDescent="0.3">
      <c r="A331" t="s">
        <v>476</v>
      </c>
      <c r="B331" t="s">
        <v>295</v>
      </c>
      <c r="C331" t="s">
        <v>254</v>
      </c>
      <c r="D331" t="s">
        <v>482</v>
      </c>
      <c r="F331">
        <v>34279413</v>
      </c>
      <c r="G331">
        <v>26775647</v>
      </c>
      <c r="H331" s="3">
        <v>0.78100000000000003</v>
      </c>
    </row>
    <row r="332" spans="1:8" x14ac:dyDescent="0.3">
      <c r="A332" t="s">
        <v>476</v>
      </c>
      <c r="B332" t="s">
        <v>295</v>
      </c>
      <c r="C332" t="s">
        <v>254</v>
      </c>
      <c r="D332" t="s">
        <v>486</v>
      </c>
      <c r="F332">
        <v>32446793</v>
      </c>
      <c r="G332">
        <v>25243269</v>
      </c>
      <c r="H332" s="3">
        <v>0.77800000000000002</v>
      </c>
    </row>
    <row r="333" spans="1:8" x14ac:dyDescent="0.3">
      <c r="A333" t="s">
        <v>476</v>
      </c>
      <c r="B333" t="s">
        <v>295</v>
      </c>
      <c r="C333" t="s">
        <v>254</v>
      </c>
      <c r="D333" t="s">
        <v>481</v>
      </c>
      <c r="F333">
        <v>26532424</v>
      </c>
      <c r="G333">
        <v>20457415</v>
      </c>
      <c r="H333" s="3">
        <v>0.77100000000000002</v>
      </c>
    </row>
    <row r="334" spans="1:8" x14ac:dyDescent="0.3">
      <c r="A334" t="s">
        <v>476</v>
      </c>
      <c r="B334" t="s">
        <v>295</v>
      </c>
      <c r="C334" t="s">
        <v>254</v>
      </c>
      <c r="D334" t="s">
        <v>485</v>
      </c>
      <c r="F334">
        <v>34363311</v>
      </c>
      <c r="G334">
        <v>26084186</v>
      </c>
      <c r="H334" s="3">
        <v>0.75900000000000001</v>
      </c>
    </row>
    <row r="335" spans="1:8" x14ac:dyDescent="0.3">
      <c r="A335" t="s">
        <v>476</v>
      </c>
      <c r="B335" t="s">
        <v>295</v>
      </c>
      <c r="C335" t="s">
        <v>254</v>
      </c>
      <c r="D335" t="s">
        <v>480</v>
      </c>
      <c r="F335">
        <v>25321591</v>
      </c>
      <c r="G335">
        <v>18624893</v>
      </c>
      <c r="H335" s="3">
        <v>0.73599999999999999</v>
      </c>
    </row>
    <row r="336" spans="1:8" x14ac:dyDescent="0.3">
      <c r="A336" t="s">
        <v>476</v>
      </c>
      <c r="B336" t="s">
        <v>295</v>
      </c>
      <c r="C336" t="s">
        <v>254</v>
      </c>
      <c r="D336" t="s">
        <v>483</v>
      </c>
      <c r="F336">
        <v>36470602</v>
      </c>
      <c r="G336">
        <v>26435794</v>
      </c>
      <c r="H336" s="3">
        <v>0.72499999999999998</v>
      </c>
    </row>
    <row r="337" spans="1:8" x14ac:dyDescent="0.3">
      <c r="A337" t="s">
        <v>476</v>
      </c>
      <c r="B337" t="s">
        <v>295</v>
      </c>
      <c r="C337" t="s">
        <v>254</v>
      </c>
      <c r="D337" t="s">
        <v>477</v>
      </c>
      <c r="F337">
        <v>36071108</v>
      </c>
      <c r="G337">
        <v>27798148</v>
      </c>
      <c r="H337" s="3">
        <v>0.77100000000000002</v>
      </c>
    </row>
    <row r="338" spans="1:8" x14ac:dyDescent="0.3">
      <c r="A338" t="s">
        <v>476</v>
      </c>
      <c r="B338" t="s">
        <v>295</v>
      </c>
      <c r="C338" t="s">
        <v>254</v>
      </c>
      <c r="D338" t="s">
        <v>478</v>
      </c>
      <c r="F338">
        <v>24966959</v>
      </c>
      <c r="G338">
        <v>19390553</v>
      </c>
      <c r="H338" s="3">
        <v>0.77700000000000002</v>
      </c>
    </row>
    <row r="339" spans="1:8" x14ac:dyDescent="0.3">
      <c r="A339" t="s">
        <v>476</v>
      </c>
      <c r="B339" t="s">
        <v>295</v>
      </c>
      <c r="C339" t="s">
        <v>254</v>
      </c>
      <c r="D339" t="s">
        <v>479</v>
      </c>
      <c r="F339">
        <v>33705877</v>
      </c>
      <c r="G339">
        <v>26416253</v>
      </c>
      <c r="H339" s="3">
        <v>0.78400000000000003</v>
      </c>
    </row>
    <row r="340" spans="1:8" x14ac:dyDescent="0.3">
      <c r="A340" t="s">
        <v>476</v>
      </c>
      <c r="B340" t="s">
        <v>295</v>
      </c>
      <c r="C340" t="s">
        <v>254</v>
      </c>
      <c r="D340" t="s">
        <v>487</v>
      </c>
      <c r="F340">
        <v>31802136</v>
      </c>
      <c r="G340">
        <v>24485384</v>
      </c>
      <c r="H340" s="3">
        <v>0.77</v>
      </c>
    </row>
    <row r="341" spans="1:8" x14ac:dyDescent="0.3">
      <c r="A341" t="s">
        <v>476</v>
      </c>
      <c r="B341" t="s">
        <v>295</v>
      </c>
      <c r="C341" t="s">
        <v>254</v>
      </c>
      <c r="D341" t="s">
        <v>488</v>
      </c>
      <c r="F341">
        <v>34453046</v>
      </c>
      <c r="G341">
        <v>26654128</v>
      </c>
      <c r="H341" s="3">
        <v>0.77400000000000002</v>
      </c>
    </row>
    <row r="342" spans="1:8" x14ac:dyDescent="0.3">
      <c r="A342" t="s">
        <v>476</v>
      </c>
      <c r="B342" t="s">
        <v>295</v>
      </c>
      <c r="C342" t="s">
        <v>254</v>
      </c>
      <c r="D342" t="s">
        <v>489</v>
      </c>
      <c r="F342">
        <v>31518616</v>
      </c>
      <c r="G342">
        <v>24375636</v>
      </c>
      <c r="H342" s="3">
        <v>0.77300000000000002</v>
      </c>
    </row>
    <row r="343" spans="1:8" x14ac:dyDescent="0.3">
      <c r="A343" t="s">
        <v>476</v>
      </c>
      <c r="B343" t="s">
        <v>295</v>
      </c>
      <c r="C343" t="s">
        <v>254</v>
      </c>
      <c r="D343" t="s">
        <v>490</v>
      </c>
      <c r="F343">
        <v>34880930</v>
      </c>
      <c r="G343">
        <v>26928194</v>
      </c>
      <c r="H343" s="3">
        <v>0.77200000000000002</v>
      </c>
    </row>
    <row r="344" spans="1:8" x14ac:dyDescent="0.3">
      <c r="A344" t="s">
        <v>476</v>
      </c>
      <c r="B344" t="s">
        <v>295</v>
      </c>
      <c r="C344" t="s">
        <v>254</v>
      </c>
      <c r="D344" t="s">
        <v>491</v>
      </c>
      <c r="F344">
        <v>23851825</v>
      </c>
      <c r="G344">
        <v>18603561</v>
      </c>
      <c r="H344" s="3">
        <v>0.78</v>
      </c>
    </row>
    <row r="345" spans="1:8" x14ac:dyDescent="0.3">
      <c r="A345" t="s">
        <v>476</v>
      </c>
      <c r="B345" t="s">
        <v>295</v>
      </c>
      <c r="C345" t="s">
        <v>254</v>
      </c>
      <c r="D345" t="s">
        <v>492</v>
      </c>
      <c r="F345">
        <v>30331504</v>
      </c>
      <c r="G345">
        <v>23481352</v>
      </c>
      <c r="H345" s="3">
        <v>0.77400000000000002</v>
      </c>
    </row>
    <row r="346" spans="1:8" x14ac:dyDescent="0.3">
      <c r="A346" t="s">
        <v>476</v>
      </c>
      <c r="B346" t="s">
        <v>295</v>
      </c>
      <c r="C346" t="s">
        <v>254</v>
      </c>
      <c r="D346" t="s">
        <v>493</v>
      </c>
      <c r="F346">
        <v>24803979</v>
      </c>
      <c r="G346">
        <v>19084397</v>
      </c>
      <c r="H346" s="3">
        <v>0.76900000000000002</v>
      </c>
    </row>
    <row r="347" spans="1:8" x14ac:dyDescent="0.3">
      <c r="A347" t="s">
        <v>476</v>
      </c>
      <c r="B347" t="s">
        <v>295</v>
      </c>
      <c r="C347" t="s">
        <v>254</v>
      </c>
      <c r="D347" t="s">
        <v>494</v>
      </c>
      <c r="F347">
        <v>27900120</v>
      </c>
      <c r="G347">
        <v>21734502</v>
      </c>
      <c r="H347" s="3">
        <v>0.77900000000000003</v>
      </c>
    </row>
    <row r="348" spans="1:8" x14ac:dyDescent="0.3">
      <c r="A348" t="s">
        <v>476</v>
      </c>
      <c r="B348" t="s">
        <v>295</v>
      </c>
      <c r="C348" t="s">
        <v>254</v>
      </c>
      <c r="D348" t="s">
        <v>495</v>
      </c>
      <c r="F348">
        <v>27847962</v>
      </c>
      <c r="G348">
        <v>20041578</v>
      </c>
      <c r="H348" s="3">
        <v>0.72</v>
      </c>
    </row>
    <row r="349" spans="1:8" x14ac:dyDescent="0.3">
      <c r="A349" t="s">
        <v>476</v>
      </c>
      <c r="B349" t="s">
        <v>295</v>
      </c>
      <c r="C349" t="s">
        <v>254</v>
      </c>
      <c r="D349" t="s">
        <v>496</v>
      </c>
      <c r="F349">
        <v>30268908</v>
      </c>
      <c r="G349">
        <v>23721423</v>
      </c>
      <c r="H349" s="3">
        <v>0.78400000000000003</v>
      </c>
    </row>
    <row r="350" spans="1:8" x14ac:dyDescent="0.3">
      <c r="A350" t="s">
        <v>476</v>
      </c>
      <c r="B350" t="s">
        <v>295</v>
      </c>
      <c r="C350" t="s">
        <v>254</v>
      </c>
      <c r="D350" t="s">
        <v>497</v>
      </c>
      <c r="F350">
        <v>23654281</v>
      </c>
      <c r="G350">
        <v>18567796</v>
      </c>
      <c r="H350" s="3">
        <v>0.78500000000000003</v>
      </c>
    </row>
    <row r="351" spans="1:8" x14ac:dyDescent="0.3">
      <c r="A351" t="s">
        <v>476</v>
      </c>
      <c r="B351" t="s">
        <v>295</v>
      </c>
      <c r="C351" t="s">
        <v>254</v>
      </c>
      <c r="D351" t="s">
        <v>498</v>
      </c>
      <c r="F351">
        <v>28462357</v>
      </c>
      <c r="G351">
        <v>21941072</v>
      </c>
      <c r="H351" s="3">
        <v>0.77100000000000002</v>
      </c>
    </row>
    <row r="352" spans="1:8" x14ac:dyDescent="0.3">
      <c r="A352" t="s">
        <v>476</v>
      </c>
      <c r="B352" t="s">
        <v>295</v>
      </c>
      <c r="C352" t="s">
        <v>254</v>
      </c>
      <c r="D352" t="s">
        <v>499</v>
      </c>
      <c r="F352">
        <v>25422214</v>
      </c>
      <c r="G352">
        <v>19597670</v>
      </c>
      <c r="H352" s="3">
        <v>0.77100000000000002</v>
      </c>
    </row>
    <row r="353" spans="1:24" x14ac:dyDescent="0.3">
      <c r="A353" t="s">
        <v>476</v>
      </c>
      <c r="B353" t="s">
        <v>295</v>
      </c>
      <c r="C353" t="s">
        <v>254</v>
      </c>
      <c r="D353" t="s">
        <v>500</v>
      </c>
      <c r="F353">
        <v>30055918</v>
      </c>
      <c r="G353">
        <v>23311652</v>
      </c>
      <c r="H353" s="3">
        <v>0.77600000000000002</v>
      </c>
    </row>
    <row r="354" spans="1:24" x14ac:dyDescent="0.3">
      <c r="A354" t="s">
        <v>476</v>
      </c>
      <c r="B354" t="s">
        <v>295</v>
      </c>
      <c r="C354" t="s">
        <v>252</v>
      </c>
      <c r="D354" t="s">
        <v>483</v>
      </c>
      <c r="F354">
        <v>138766336</v>
      </c>
      <c r="G354">
        <v>131498093</v>
      </c>
      <c r="H354" s="3">
        <v>0.94762199999999996</v>
      </c>
      <c r="I354">
        <v>72831509</v>
      </c>
      <c r="J354" s="3">
        <v>0.52485000000000004</v>
      </c>
      <c r="K354">
        <v>65934827</v>
      </c>
      <c r="L354" s="3">
        <v>0.47515000000000002</v>
      </c>
      <c r="M354">
        <v>0</v>
      </c>
      <c r="N354" s="3">
        <v>0</v>
      </c>
      <c r="O354">
        <v>0</v>
      </c>
      <c r="P354" s="3">
        <v>1</v>
      </c>
      <c r="Q354">
        <v>131488521</v>
      </c>
      <c r="R354" s="3">
        <v>0.94755299999999998</v>
      </c>
      <c r="S354">
        <v>70172438</v>
      </c>
      <c r="T354">
        <v>68593898</v>
      </c>
      <c r="U354">
        <v>9572</v>
      </c>
      <c r="V354" s="3">
        <v>6.8979299999999999E-5</v>
      </c>
      <c r="W354" s="12">
        <v>2288150</v>
      </c>
      <c r="X354">
        <v>238</v>
      </c>
    </row>
    <row r="355" spans="1:24" x14ac:dyDescent="0.3">
      <c r="A355" t="s">
        <v>476</v>
      </c>
      <c r="B355" t="s">
        <v>295</v>
      </c>
      <c r="C355" t="s">
        <v>252</v>
      </c>
      <c r="D355" t="s">
        <v>480</v>
      </c>
      <c r="F355">
        <v>82431768</v>
      </c>
      <c r="G355">
        <v>77575732</v>
      </c>
      <c r="H355" s="3">
        <v>0.94108999999999998</v>
      </c>
      <c r="I355">
        <v>43430878</v>
      </c>
      <c r="J355" s="3">
        <v>0.52687099999999998</v>
      </c>
      <c r="K355">
        <v>39000890</v>
      </c>
      <c r="L355" s="3">
        <v>0.47312900000000002</v>
      </c>
      <c r="M355">
        <v>0</v>
      </c>
      <c r="N355" s="3">
        <v>0</v>
      </c>
      <c r="O355">
        <v>0</v>
      </c>
      <c r="P355" s="3">
        <v>1</v>
      </c>
      <c r="Q355">
        <v>77570062</v>
      </c>
      <c r="R355" s="3">
        <v>0.941021</v>
      </c>
      <c r="S355">
        <v>41900467</v>
      </c>
      <c r="T355">
        <v>40531301</v>
      </c>
      <c r="U355">
        <v>5670</v>
      </c>
      <c r="V355" s="3">
        <v>6.8784199999999998E-5</v>
      </c>
      <c r="W355" s="12">
        <v>1607040</v>
      </c>
      <c r="X355">
        <v>293</v>
      </c>
    </row>
    <row r="356" spans="1:24" x14ac:dyDescent="0.3">
      <c r="A356" t="s">
        <v>476</v>
      </c>
      <c r="B356" t="s">
        <v>295</v>
      </c>
      <c r="C356" t="s">
        <v>252</v>
      </c>
      <c r="D356" t="s">
        <v>485</v>
      </c>
      <c r="F356">
        <v>106289840</v>
      </c>
      <c r="G356">
        <v>99035877</v>
      </c>
      <c r="H356" s="3">
        <v>0.93175300000000005</v>
      </c>
      <c r="I356">
        <v>56527173</v>
      </c>
      <c r="J356" s="3">
        <v>0.53182099999999999</v>
      </c>
      <c r="K356">
        <v>49762667</v>
      </c>
      <c r="L356" s="3">
        <v>0.46817900000000001</v>
      </c>
      <c r="M356">
        <v>0</v>
      </c>
      <c r="N356" s="3">
        <v>0</v>
      </c>
      <c r="O356">
        <v>0</v>
      </c>
      <c r="P356" s="3">
        <v>1</v>
      </c>
      <c r="Q356">
        <v>99021288</v>
      </c>
      <c r="R356" s="3">
        <v>0.931616</v>
      </c>
      <c r="S356">
        <v>55004281</v>
      </c>
      <c r="T356">
        <v>51285559</v>
      </c>
      <c r="U356">
        <v>14589</v>
      </c>
      <c r="V356" s="3">
        <v>1.37257E-4</v>
      </c>
      <c r="W356" s="12">
        <v>1419580</v>
      </c>
      <c r="X356">
        <v>263</v>
      </c>
    </row>
    <row r="357" spans="1:24" x14ac:dyDescent="0.3">
      <c r="A357" t="s">
        <v>476</v>
      </c>
      <c r="B357" t="s">
        <v>295</v>
      </c>
      <c r="C357" t="s">
        <v>252</v>
      </c>
      <c r="D357" t="s">
        <v>481</v>
      </c>
      <c r="F357">
        <v>81276118</v>
      </c>
      <c r="G357">
        <v>75698333</v>
      </c>
      <c r="H357" s="3">
        <v>0.93137199999999998</v>
      </c>
      <c r="I357">
        <v>43289940</v>
      </c>
      <c r="J357" s="3">
        <v>0.53262799999999999</v>
      </c>
      <c r="K357">
        <v>37986178</v>
      </c>
      <c r="L357" s="3">
        <v>0.46737200000000001</v>
      </c>
      <c r="M357">
        <v>0</v>
      </c>
      <c r="N357" s="3">
        <v>0</v>
      </c>
      <c r="O357">
        <v>0</v>
      </c>
      <c r="P357" s="3">
        <v>1</v>
      </c>
      <c r="Q357">
        <v>75686755</v>
      </c>
      <c r="R357" s="3">
        <v>0.93123</v>
      </c>
      <c r="S357">
        <v>41475647</v>
      </c>
      <c r="T357">
        <v>39800471</v>
      </c>
      <c r="U357">
        <v>11578</v>
      </c>
      <c r="V357" s="3">
        <v>1.4245300000000001E-4</v>
      </c>
      <c r="W357" s="12">
        <v>1351860</v>
      </c>
      <c r="X357">
        <v>264</v>
      </c>
    </row>
    <row r="358" spans="1:24" x14ac:dyDescent="0.3">
      <c r="A358" t="s">
        <v>476</v>
      </c>
      <c r="B358" t="s">
        <v>295</v>
      </c>
      <c r="C358" t="s">
        <v>252</v>
      </c>
      <c r="D358" t="s">
        <v>482</v>
      </c>
      <c r="F358">
        <v>101746186</v>
      </c>
      <c r="G358">
        <v>94500780</v>
      </c>
      <c r="H358" s="3">
        <v>0.92879</v>
      </c>
      <c r="I358">
        <v>54183452</v>
      </c>
      <c r="J358" s="3">
        <v>0.53253499999999998</v>
      </c>
      <c r="K358">
        <v>47562734</v>
      </c>
      <c r="L358" s="3">
        <v>0.46746500000000002</v>
      </c>
      <c r="M358">
        <v>0</v>
      </c>
      <c r="N358" s="3">
        <v>0</v>
      </c>
      <c r="O358">
        <v>0</v>
      </c>
      <c r="P358" s="3">
        <v>1</v>
      </c>
      <c r="Q358">
        <v>94493937</v>
      </c>
      <c r="R358" s="3">
        <v>0.92872200000000005</v>
      </c>
      <c r="S358">
        <v>51766429</v>
      </c>
      <c r="T358">
        <v>49979757</v>
      </c>
      <c r="U358">
        <v>6843</v>
      </c>
      <c r="V358" s="3">
        <v>6.7255599999999994E-5</v>
      </c>
      <c r="W358" s="12">
        <v>1216570</v>
      </c>
      <c r="X358">
        <v>244</v>
      </c>
    </row>
    <row r="359" spans="1:24" x14ac:dyDescent="0.3">
      <c r="A359" t="s">
        <v>476</v>
      </c>
      <c r="B359" t="s">
        <v>295</v>
      </c>
      <c r="C359" t="s">
        <v>252</v>
      </c>
      <c r="D359" t="s">
        <v>486</v>
      </c>
      <c r="F359">
        <v>98066448</v>
      </c>
      <c r="G359">
        <v>91066719</v>
      </c>
      <c r="H359" s="3">
        <v>0.92862299999999998</v>
      </c>
      <c r="I359">
        <v>52333431</v>
      </c>
      <c r="J359" s="3">
        <v>0.53365300000000004</v>
      </c>
      <c r="K359">
        <v>45733017</v>
      </c>
      <c r="L359" s="3">
        <v>0.46634700000000001</v>
      </c>
      <c r="M359">
        <v>0</v>
      </c>
      <c r="N359" s="3">
        <v>0</v>
      </c>
      <c r="O359">
        <v>0</v>
      </c>
      <c r="P359" s="3">
        <v>1</v>
      </c>
      <c r="Q359">
        <v>91051512</v>
      </c>
      <c r="R359" s="3">
        <v>0.92846700000000004</v>
      </c>
      <c r="S359">
        <v>51200678</v>
      </c>
      <c r="T359">
        <v>46865770</v>
      </c>
      <c r="U359">
        <v>15207</v>
      </c>
      <c r="V359" s="3">
        <v>1.5506800000000001E-4</v>
      </c>
      <c r="W359" s="12">
        <v>1354860</v>
      </c>
      <c r="X359">
        <v>248</v>
      </c>
    </row>
    <row r="360" spans="1:24" x14ac:dyDescent="0.3">
      <c r="A360" t="s">
        <v>476</v>
      </c>
      <c r="B360" t="s">
        <v>295</v>
      </c>
      <c r="C360" t="s">
        <v>252</v>
      </c>
      <c r="D360" t="s">
        <v>484</v>
      </c>
      <c r="F360">
        <v>108271738</v>
      </c>
      <c r="G360">
        <v>100282097</v>
      </c>
      <c r="H360" s="3">
        <v>0.92620800000000003</v>
      </c>
      <c r="I360">
        <v>58062188</v>
      </c>
      <c r="J360" s="3">
        <v>0.53626399999999996</v>
      </c>
      <c r="K360">
        <v>50209550</v>
      </c>
      <c r="L360" s="3">
        <v>0.46373599999999998</v>
      </c>
      <c r="M360">
        <v>0</v>
      </c>
      <c r="N360" s="3">
        <v>0</v>
      </c>
      <c r="O360">
        <v>0</v>
      </c>
      <c r="P360" s="3">
        <v>1</v>
      </c>
      <c r="Q360">
        <v>100268550</v>
      </c>
      <c r="R360" s="3">
        <v>0.92608199999999996</v>
      </c>
      <c r="S360">
        <v>55952994</v>
      </c>
      <c r="T360">
        <v>52318744</v>
      </c>
      <c r="U360">
        <v>13547</v>
      </c>
      <c r="V360" s="3">
        <v>1.2511999999999999E-4</v>
      </c>
      <c r="W360" s="12">
        <v>1270750</v>
      </c>
      <c r="X360">
        <v>234</v>
      </c>
    </row>
    <row r="361" spans="1:24" x14ac:dyDescent="0.3">
      <c r="A361" t="s">
        <v>476</v>
      </c>
      <c r="B361" t="s">
        <v>295</v>
      </c>
      <c r="C361" t="s">
        <v>252</v>
      </c>
      <c r="D361" t="s">
        <v>477</v>
      </c>
    </row>
    <row r="362" spans="1:24" x14ac:dyDescent="0.3">
      <c r="A362" t="s">
        <v>476</v>
      </c>
      <c r="B362" t="s">
        <v>295</v>
      </c>
      <c r="C362" t="s">
        <v>252</v>
      </c>
      <c r="D362" t="s">
        <v>478</v>
      </c>
    </row>
    <row r="363" spans="1:24" x14ac:dyDescent="0.3">
      <c r="A363" t="s">
        <v>476</v>
      </c>
      <c r="B363" t="s">
        <v>295</v>
      </c>
      <c r="C363" t="s">
        <v>252</v>
      </c>
      <c r="D363" t="s">
        <v>479</v>
      </c>
    </row>
    <row r="364" spans="1:24" x14ac:dyDescent="0.3">
      <c r="A364" t="s">
        <v>476</v>
      </c>
      <c r="B364" t="s">
        <v>295</v>
      </c>
      <c r="C364" t="s">
        <v>252</v>
      </c>
      <c r="D364" t="s">
        <v>487</v>
      </c>
    </row>
    <row r="365" spans="1:24" x14ac:dyDescent="0.3">
      <c r="A365" t="s">
        <v>476</v>
      </c>
      <c r="B365" t="s">
        <v>295</v>
      </c>
      <c r="C365" t="s">
        <v>252</v>
      </c>
      <c r="D365" t="s">
        <v>488</v>
      </c>
    </row>
    <row r="366" spans="1:24" x14ac:dyDescent="0.3">
      <c r="A366" t="s">
        <v>476</v>
      </c>
      <c r="B366" t="s">
        <v>295</v>
      </c>
      <c r="C366" t="s">
        <v>252</v>
      </c>
      <c r="D366" t="s">
        <v>489</v>
      </c>
    </row>
    <row r="367" spans="1:24" x14ac:dyDescent="0.3">
      <c r="A367" t="s">
        <v>476</v>
      </c>
      <c r="B367" t="s">
        <v>295</v>
      </c>
      <c r="C367" t="s">
        <v>252</v>
      </c>
      <c r="D367" t="s">
        <v>490</v>
      </c>
    </row>
    <row r="368" spans="1:24" x14ac:dyDescent="0.3">
      <c r="A368" t="s">
        <v>476</v>
      </c>
      <c r="B368" t="s">
        <v>295</v>
      </c>
      <c r="C368" t="s">
        <v>252</v>
      </c>
      <c r="D368" t="s">
        <v>491</v>
      </c>
    </row>
    <row r="369" spans="1:24" x14ac:dyDescent="0.3">
      <c r="A369" t="s">
        <v>476</v>
      </c>
      <c r="B369" t="s">
        <v>295</v>
      </c>
      <c r="C369" t="s">
        <v>252</v>
      </c>
      <c r="D369" t="s">
        <v>492</v>
      </c>
    </row>
    <row r="370" spans="1:24" x14ac:dyDescent="0.3">
      <c r="A370" t="s">
        <v>476</v>
      </c>
      <c r="B370" t="s">
        <v>295</v>
      </c>
      <c r="C370" t="s">
        <v>252</v>
      </c>
      <c r="D370" t="s">
        <v>493</v>
      </c>
    </row>
    <row r="371" spans="1:24" x14ac:dyDescent="0.3">
      <c r="A371" t="s">
        <v>476</v>
      </c>
      <c r="B371" t="s">
        <v>295</v>
      </c>
      <c r="C371" t="s">
        <v>252</v>
      </c>
      <c r="D371" t="s">
        <v>494</v>
      </c>
    </row>
    <row r="372" spans="1:24" x14ac:dyDescent="0.3">
      <c r="A372" t="s">
        <v>476</v>
      </c>
      <c r="B372" t="s">
        <v>295</v>
      </c>
      <c r="C372" t="s">
        <v>252</v>
      </c>
      <c r="D372" t="s">
        <v>495</v>
      </c>
    </row>
    <row r="373" spans="1:24" x14ac:dyDescent="0.3">
      <c r="A373" t="s">
        <v>476</v>
      </c>
      <c r="B373" t="s">
        <v>295</v>
      </c>
      <c r="C373" t="s">
        <v>252</v>
      </c>
      <c r="D373" t="s">
        <v>496</v>
      </c>
    </row>
    <row r="374" spans="1:24" x14ac:dyDescent="0.3">
      <c r="A374" t="s">
        <v>476</v>
      </c>
      <c r="B374" t="s">
        <v>295</v>
      </c>
      <c r="C374" t="s">
        <v>252</v>
      </c>
      <c r="D374" t="s">
        <v>497</v>
      </c>
    </row>
    <row r="375" spans="1:24" x14ac:dyDescent="0.3">
      <c r="A375" t="s">
        <v>476</v>
      </c>
      <c r="B375" t="s">
        <v>295</v>
      </c>
      <c r="C375" t="s">
        <v>252</v>
      </c>
      <c r="D375" t="s">
        <v>498</v>
      </c>
    </row>
    <row r="376" spans="1:24" x14ac:dyDescent="0.3">
      <c r="A376" t="s">
        <v>476</v>
      </c>
      <c r="B376" t="s">
        <v>295</v>
      </c>
      <c r="C376" t="s">
        <v>252</v>
      </c>
      <c r="D376" t="s">
        <v>499</v>
      </c>
    </row>
    <row r="377" spans="1:24" x14ac:dyDescent="0.3">
      <c r="A377" t="s">
        <v>476</v>
      </c>
      <c r="B377" t="s">
        <v>295</v>
      </c>
      <c r="C377" t="s">
        <v>252</v>
      </c>
      <c r="D377" t="s">
        <v>500</v>
      </c>
    </row>
    <row r="378" spans="1:24" x14ac:dyDescent="0.3">
      <c r="A378" t="s">
        <v>476</v>
      </c>
      <c r="B378" t="s">
        <v>295</v>
      </c>
      <c r="C378" t="s">
        <v>97</v>
      </c>
      <c r="D378" t="s">
        <v>484</v>
      </c>
      <c r="F378">
        <v>73987946</v>
      </c>
      <c r="G378">
        <v>73385527</v>
      </c>
      <c r="H378" s="3">
        <v>0.99185800000000002</v>
      </c>
      <c r="I378">
        <v>37222628</v>
      </c>
      <c r="J378" s="3">
        <v>0.50309000000000004</v>
      </c>
      <c r="K378">
        <v>36765318</v>
      </c>
      <c r="L378" s="3">
        <v>0.49691000000000002</v>
      </c>
      <c r="M378">
        <v>8101444</v>
      </c>
      <c r="N378" s="3">
        <v>0.109497</v>
      </c>
      <c r="O378">
        <v>0</v>
      </c>
      <c r="P378" s="3">
        <v>1</v>
      </c>
      <c r="Q378">
        <v>73269392</v>
      </c>
      <c r="R378" s="3">
        <v>0.99028799999999995</v>
      </c>
      <c r="S378">
        <v>36907477</v>
      </c>
      <c r="T378">
        <v>37080469</v>
      </c>
      <c r="U378">
        <v>116135</v>
      </c>
      <c r="V378" s="3">
        <v>1.5696499999999999E-3</v>
      </c>
      <c r="W378">
        <v>52936.7</v>
      </c>
      <c r="X378">
        <v>219</v>
      </c>
    </row>
    <row r="379" spans="1:24" x14ac:dyDescent="0.3">
      <c r="A379" t="s">
        <v>476</v>
      </c>
      <c r="B379" t="s">
        <v>295</v>
      </c>
      <c r="C379" t="s">
        <v>97</v>
      </c>
      <c r="D379" t="s">
        <v>482</v>
      </c>
      <c r="F379">
        <v>70023722</v>
      </c>
      <c r="G379">
        <v>69440341</v>
      </c>
      <c r="H379" s="3">
        <v>0.99166900000000002</v>
      </c>
      <c r="I379">
        <v>35221736</v>
      </c>
      <c r="J379" s="3">
        <v>0.50299700000000003</v>
      </c>
      <c r="K379">
        <v>34801986</v>
      </c>
      <c r="L379" s="3">
        <v>0.49700299999999997</v>
      </c>
      <c r="M379">
        <v>8259792</v>
      </c>
      <c r="N379" s="3">
        <v>0.11795700000000001</v>
      </c>
      <c r="O379">
        <v>0</v>
      </c>
      <c r="P379" s="3">
        <v>1</v>
      </c>
      <c r="Q379">
        <v>69311262</v>
      </c>
      <c r="R379" s="3">
        <v>0.98982599999999998</v>
      </c>
      <c r="S379">
        <v>34873042</v>
      </c>
      <c r="T379">
        <v>35150680</v>
      </c>
      <c r="U379">
        <v>129079</v>
      </c>
      <c r="V379" s="3">
        <v>1.8433600000000001E-3</v>
      </c>
      <c r="W379">
        <v>61627.3</v>
      </c>
      <c r="X379">
        <v>229</v>
      </c>
    </row>
    <row r="380" spans="1:24" x14ac:dyDescent="0.3">
      <c r="A380" t="s">
        <v>476</v>
      </c>
      <c r="B380" t="s">
        <v>295</v>
      </c>
      <c r="C380" t="s">
        <v>97</v>
      </c>
      <c r="D380" t="s">
        <v>486</v>
      </c>
      <c r="F380">
        <v>65900861</v>
      </c>
      <c r="G380">
        <v>65182722</v>
      </c>
      <c r="H380" s="3">
        <v>0.98910299999999995</v>
      </c>
      <c r="I380">
        <v>33237585</v>
      </c>
      <c r="J380" s="3">
        <v>0.50435700000000006</v>
      </c>
      <c r="K380">
        <v>32663276</v>
      </c>
      <c r="L380" s="3">
        <v>0.495643</v>
      </c>
      <c r="M380">
        <v>6786499</v>
      </c>
      <c r="N380" s="3">
        <v>0.10298</v>
      </c>
      <c r="O380">
        <v>0</v>
      </c>
      <c r="P380" s="3">
        <v>1</v>
      </c>
      <c r="Q380">
        <v>65066027</v>
      </c>
      <c r="R380" s="3">
        <v>0.98733199999999999</v>
      </c>
      <c r="S380">
        <v>32849885</v>
      </c>
      <c r="T380">
        <v>33050976</v>
      </c>
      <c r="U380">
        <v>116695</v>
      </c>
      <c r="V380" s="3">
        <v>1.7707700000000001E-3</v>
      </c>
      <c r="W380">
        <v>51486.5</v>
      </c>
      <c r="X380">
        <v>231</v>
      </c>
    </row>
    <row r="381" spans="1:24" x14ac:dyDescent="0.3">
      <c r="A381" t="s">
        <v>476</v>
      </c>
      <c r="B381" t="s">
        <v>295</v>
      </c>
      <c r="C381" t="s">
        <v>97</v>
      </c>
      <c r="D381" t="s">
        <v>485</v>
      </c>
      <c r="F381">
        <v>70061249</v>
      </c>
      <c r="G381">
        <v>69209296</v>
      </c>
      <c r="H381" s="3">
        <v>0.98784000000000005</v>
      </c>
      <c r="I381">
        <v>35384329</v>
      </c>
      <c r="J381" s="3">
        <v>0.50504899999999997</v>
      </c>
      <c r="K381">
        <v>34676920</v>
      </c>
      <c r="L381" s="3">
        <v>0.494952</v>
      </c>
      <c r="M381">
        <v>8379170</v>
      </c>
      <c r="N381" s="3">
        <v>0.119598</v>
      </c>
      <c r="O381">
        <v>0</v>
      </c>
      <c r="P381" s="3">
        <v>1</v>
      </c>
      <c r="Q381">
        <v>69081118</v>
      </c>
      <c r="R381" s="3">
        <v>0.98601000000000005</v>
      </c>
      <c r="S381">
        <v>34953086</v>
      </c>
      <c r="T381">
        <v>35108163</v>
      </c>
      <c r="U381">
        <v>128178</v>
      </c>
      <c r="V381" s="3">
        <v>1.8295099999999999E-3</v>
      </c>
      <c r="W381">
        <v>58778.400000000001</v>
      </c>
      <c r="X381">
        <v>245</v>
      </c>
    </row>
    <row r="382" spans="1:24" x14ac:dyDescent="0.3">
      <c r="A382" t="s">
        <v>476</v>
      </c>
      <c r="B382" t="s">
        <v>295</v>
      </c>
      <c r="C382" t="s">
        <v>97</v>
      </c>
      <c r="D382" t="s">
        <v>481</v>
      </c>
      <c r="F382">
        <v>54141172</v>
      </c>
      <c r="G382">
        <v>53478769</v>
      </c>
      <c r="H382" s="3">
        <v>0.987765</v>
      </c>
      <c r="I382">
        <v>27336075</v>
      </c>
      <c r="J382" s="3">
        <v>0.50490400000000002</v>
      </c>
      <c r="K382">
        <v>26805097</v>
      </c>
      <c r="L382" s="3">
        <v>0.49509599999999998</v>
      </c>
      <c r="M382">
        <v>6282970</v>
      </c>
      <c r="N382" s="3">
        <v>0.116048</v>
      </c>
      <c r="O382">
        <v>0</v>
      </c>
      <c r="P382" s="3">
        <v>1</v>
      </c>
      <c r="Q382">
        <v>53363231</v>
      </c>
      <c r="R382" s="3">
        <v>0.98563100000000003</v>
      </c>
      <c r="S382">
        <v>26937194</v>
      </c>
      <c r="T382">
        <v>27203978</v>
      </c>
      <c r="U382">
        <v>115538</v>
      </c>
      <c r="V382" s="3">
        <v>2.13401E-3</v>
      </c>
      <c r="W382">
        <v>65605.100000000006</v>
      </c>
      <c r="X382">
        <v>246</v>
      </c>
    </row>
    <row r="383" spans="1:24" x14ac:dyDescent="0.3">
      <c r="A383" t="s">
        <v>476</v>
      </c>
      <c r="B383" t="s">
        <v>295</v>
      </c>
      <c r="C383" t="s">
        <v>97</v>
      </c>
      <c r="D383" t="s">
        <v>480</v>
      </c>
      <c r="F383">
        <v>51760874</v>
      </c>
      <c r="G383">
        <v>50926420</v>
      </c>
      <c r="H383" s="3">
        <v>0.98387899999999995</v>
      </c>
      <c r="I383">
        <v>26230379</v>
      </c>
      <c r="J383" s="3">
        <v>0.50676100000000002</v>
      </c>
      <c r="K383">
        <v>25530495</v>
      </c>
      <c r="L383" s="3">
        <v>0.49323899999999998</v>
      </c>
      <c r="M383">
        <v>7111278</v>
      </c>
      <c r="N383" s="3">
        <v>0.13738700000000001</v>
      </c>
      <c r="O383">
        <v>0</v>
      </c>
      <c r="P383" s="3">
        <v>1</v>
      </c>
      <c r="Q383">
        <v>50810902</v>
      </c>
      <c r="R383" s="3">
        <v>0.98164700000000005</v>
      </c>
      <c r="S383">
        <v>25774452</v>
      </c>
      <c r="T383">
        <v>25986422</v>
      </c>
      <c r="U383">
        <v>115518</v>
      </c>
      <c r="V383" s="3">
        <v>2.2317600000000002E-3</v>
      </c>
      <c r="W383">
        <v>67601.8</v>
      </c>
      <c r="X383">
        <v>273</v>
      </c>
    </row>
    <row r="384" spans="1:24" x14ac:dyDescent="0.3">
      <c r="A384" t="s">
        <v>476</v>
      </c>
      <c r="B384" t="s">
        <v>295</v>
      </c>
      <c r="C384" t="s">
        <v>97</v>
      </c>
      <c r="D384" t="s">
        <v>483</v>
      </c>
      <c r="F384">
        <v>74304314</v>
      </c>
      <c r="G384">
        <v>72906022</v>
      </c>
      <c r="H384" s="3">
        <v>0.981182</v>
      </c>
      <c r="I384">
        <v>37766483</v>
      </c>
      <c r="J384" s="3">
        <v>0.50826800000000005</v>
      </c>
      <c r="K384">
        <v>36537831</v>
      </c>
      <c r="L384" s="3">
        <v>0.491732</v>
      </c>
      <c r="M384">
        <v>13138200</v>
      </c>
      <c r="N384" s="3">
        <v>0.176816</v>
      </c>
      <c r="O384">
        <v>0</v>
      </c>
      <c r="P384" s="3">
        <v>1</v>
      </c>
      <c r="Q384">
        <v>72769795</v>
      </c>
      <c r="R384" s="3">
        <v>0.979348</v>
      </c>
      <c r="S384">
        <v>37019868</v>
      </c>
      <c r="T384">
        <v>37284446</v>
      </c>
      <c r="U384">
        <v>136227</v>
      </c>
      <c r="V384" s="3">
        <v>1.83337E-3</v>
      </c>
      <c r="W384">
        <v>55273.9</v>
      </c>
      <c r="X384">
        <v>216</v>
      </c>
    </row>
    <row r="385" spans="1:24" x14ac:dyDescent="0.3">
      <c r="A385" t="s">
        <v>476</v>
      </c>
      <c r="B385" t="s">
        <v>295</v>
      </c>
      <c r="C385" t="s">
        <v>97</v>
      </c>
      <c r="D385" t="s">
        <v>477</v>
      </c>
      <c r="F385">
        <v>73617411</v>
      </c>
      <c r="G385">
        <v>72922710</v>
      </c>
      <c r="H385" s="3">
        <v>0.99056299999999997</v>
      </c>
      <c r="I385">
        <v>37069034</v>
      </c>
      <c r="J385" s="3">
        <v>0.50353599999999998</v>
      </c>
      <c r="K385">
        <v>36548377</v>
      </c>
      <c r="L385" s="3">
        <v>0.49646400000000002</v>
      </c>
      <c r="M385">
        <v>9552054</v>
      </c>
      <c r="N385" s="3">
        <v>0.12975300000000001</v>
      </c>
      <c r="Q385">
        <v>72790063</v>
      </c>
      <c r="R385" s="3">
        <v>0.98876200000000003</v>
      </c>
      <c r="S385">
        <v>36650585</v>
      </c>
      <c r="T385">
        <v>36966826</v>
      </c>
      <c r="U385">
        <v>132647</v>
      </c>
      <c r="V385" s="3">
        <v>1.8018400000000001E-3</v>
      </c>
      <c r="W385">
        <v>58201.1</v>
      </c>
      <c r="X385">
        <v>210</v>
      </c>
    </row>
    <row r="386" spans="1:24" x14ac:dyDescent="0.3">
      <c r="A386" t="s">
        <v>476</v>
      </c>
      <c r="B386" t="s">
        <v>295</v>
      </c>
      <c r="C386" t="s">
        <v>97</v>
      </c>
      <c r="D386" t="s">
        <v>478</v>
      </c>
      <c r="F386">
        <v>51007796</v>
      </c>
      <c r="G386">
        <v>50522218</v>
      </c>
      <c r="H386" s="3">
        <v>0.99048000000000003</v>
      </c>
      <c r="I386">
        <v>25696907</v>
      </c>
      <c r="J386" s="3">
        <v>0.50378400000000001</v>
      </c>
      <c r="K386">
        <v>25310889</v>
      </c>
      <c r="L386" s="3">
        <v>0.49621599999999999</v>
      </c>
      <c r="M386">
        <v>6465637</v>
      </c>
      <c r="N386" s="3">
        <v>0.12675800000000001</v>
      </c>
      <c r="Q386">
        <v>50433042</v>
      </c>
      <c r="R386" s="3">
        <v>0.98873200000000006</v>
      </c>
      <c r="S386">
        <v>25418470</v>
      </c>
      <c r="T386">
        <v>25589326</v>
      </c>
      <c r="U386">
        <v>89176</v>
      </c>
      <c r="V386" s="3">
        <v>1.7482800000000001E-3</v>
      </c>
      <c r="W386">
        <v>61628.3</v>
      </c>
      <c r="X386">
        <v>221</v>
      </c>
    </row>
    <row r="387" spans="1:24" x14ac:dyDescent="0.3">
      <c r="A387" t="s">
        <v>476</v>
      </c>
      <c r="B387" t="s">
        <v>295</v>
      </c>
      <c r="C387" t="s">
        <v>97</v>
      </c>
      <c r="D387" t="s">
        <v>479</v>
      </c>
      <c r="F387">
        <v>68902310</v>
      </c>
      <c r="G387">
        <v>68414405</v>
      </c>
      <c r="H387" s="3">
        <v>0.992919</v>
      </c>
      <c r="I387">
        <v>34617426</v>
      </c>
      <c r="J387" s="3">
        <v>0.502413</v>
      </c>
      <c r="K387">
        <v>34284884</v>
      </c>
      <c r="L387" s="3">
        <v>0.497587</v>
      </c>
      <c r="M387">
        <v>8108856</v>
      </c>
      <c r="N387" s="3">
        <v>0.117686</v>
      </c>
      <c r="Q387">
        <v>68286527</v>
      </c>
      <c r="R387" s="3">
        <v>0.99106300000000003</v>
      </c>
      <c r="S387">
        <v>34292646</v>
      </c>
      <c r="T387">
        <v>34609664</v>
      </c>
      <c r="U387">
        <v>127878</v>
      </c>
      <c r="V387" s="3">
        <v>1.85593E-3</v>
      </c>
      <c r="W387">
        <v>62474.3</v>
      </c>
      <c r="X387">
        <v>218</v>
      </c>
    </row>
    <row r="388" spans="1:24" x14ac:dyDescent="0.3">
      <c r="A388" t="s">
        <v>476</v>
      </c>
      <c r="B388" t="s">
        <v>295</v>
      </c>
      <c r="C388" t="s">
        <v>97</v>
      </c>
      <c r="D388" t="s">
        <v>487</v>
      </c>
      <c r="F388">
        <v>64767883</v>
      </c>
      <c r="G388">
        <v>64091536</v>
      </c>
      <c r="H388" s="3">
        <v>0.98955700000000002</v>
      </c>
      <c r="I388">
        <v>32651276</v>
      </c>
      <c r="J388" s="3">
        <v>0.50412800000000002</v>
      </c>
      <c r="K388">
        <v>32116607</v>
      </c>
      <c r="L388" s="3">
        <v>0.49587199999999998</v>
      </c>
      <c r="M388">
        <v>7603089</v>
      </c>
      <c r="N388" s="3">
        <v>0.11738999999999999</v>
      </c>
      <c r="Q388">
        <v>63979615</v>
      </c>
      <c r="R388" s="3">
        <v>0.98782899999999996</v>
      </c>
      <c r="S388">
        <v>32296582</v>
      </c>
      <c r="T388">
        <v>32471301</v>
      </c>
      <c r="U388">
        <v>111921</v>
      </c>
      <c r="V388" s="3">
        <v>1.72803E-3</v>
      </c>
      <c r="W388">
        <v>55887</v>
      </c>
      <c r="X388">
        <v>232</v>
      </c>
    </row>
    <row r="389" spans="1:24" x14ac:dyDescent="0.3">
      <c r="A389" t="s">
        <v>476</v>
      </c>
      <c r="B389" t="s">
        <v>295</v>
      </c>
      <c r="C389" t="s">
        <v>97</v>
      </c>
      <c r="D389" t="s">
        <v>488</v>
      </c>
      <c r="F389">
        <v>70380601</v>
      </c>
      <c r="G389">
        <v>69775633</v>
      </c>
      <c r="H389" s="3">
        <v>0.99140399999999995</v>
      </c>
      <c r="I389">
        <v>35405879</v>
      </c>
      <c r="J389" s="3">
        <v>0.50306300000000004</v>
      </c>
      <c r="K389">
        <v>34974722</v>
      </c>
      <c r="L389" s="3">
        <v>0.49693700000000002</v>
      </c>
      <c r="M389">
        <v>8515669</v>
      </c>
      <c r="N389" s="3">
        <v>0.12099500000000001</v>
      </c>
      <c r="Q389">
        <v>69641112</v>
      </c>
      <c r="R389" s="3">
        <v>0.98949299999999996</v>
      </c>
      <c r="S389">
        <v>35030362</v>
      </c>
      <c r="T389">
        <v>35350239</v>
      </c>
      <c r="U389">
        <v>134521</v>
      </c>
      <c r="V389" s="3">
        <v>1.9113400000000001E-3</v>
      </c>
      <c r="W389">
        <v>61576.6</v>
      </c>
      <c r="X389">
        <v>221</v>
      </c>
    </row>
    <row r="390" spans="1:24" x14ac:dyDescent="0.3">
      <c r="A390" t="s">
        <v>476</v>
      </c>
      <c r="B390" t="s">
        <v>295</v>
      </c>
      <c r="C390" t="s">
        <v>97</v>
      </c>
      <c r="D390" t="s">
        <v>489</v>
      </c>
      <c r="F390">
        <v>64248547</v>
      </c>
      <c r="G390">
        <v>63558313</v>
      </c>
      <c r="H390" s="3">
        <v>0.98925700000000005</v>
      </c>
      <c r="I390">
        <v>32403558</v>
      </c>
      <c r="J390" s="3">
        <v>0.50434699999999999</v>
      </c>
      <c r="K390">
        <v>31844989</v>
      </c>
      <c r="L390" s="3">
        <v>0.49565300000000001</v>
      </c>
      <c r="M390">
        <v>7803876</v>
      </c>
      <c r="N390" s="3">
        <v>0.121464</v>
      </c>
      <c r="Q390">
        <v>63444172</v>
      </c>
      <c r="R390" s="3">
        <v>0.98748000000000002</v>
      </c>
      <c r="S390">
        <v>32054654</v>
      </c>
      <c r="T390">
        <v>32193893</v>
      </c>
      <c r="U390">
        <v>114141</v>
      </c>
      <c r="V390" s="3">
        <v>1.77655E-3</v>
      </c>
      <c r="W390">
        <v>58637.7</v>
      </c>
      <c r="X390">
        <v>230</v>
      </c>
    </row>
    <row r="391" spans="1:24" x14ac:dyDescent="0.3">
      <c r="A391" t="s">
        <v>476</v>
      </c>
      <c r="B391" t="s">
        <v>295</v>
      </c>
      <c r="C391" t="s">
        <v>97</v>
      </c>
      <c r="D391" t="s">
        <v>490</v>
      </c>
      <c r="F391">
        <v>71071195</v>
      </c>
      <c r="G391">
        <v>70399206</v>
      </c>
      <c r="H391" s="3">
        <v>0.99054500000000001</v>
      </c>
      <c r="I391">
        <v>35802956</v>
      </c>
      <c r="J391" s="3">
        <v>0.50376200000000004</v>
      </c>
      <c r="K391">
        <v>35268239</v>
      </c>
      <c r="L391" s="3">
        <v>0.49623800000000001</v>
      </c>
      <c r="M391">
        <v>8202790</v>
      </c>
      <c r="N391" s="3">
        <v>0.11541700000000001</v>
      </c>
      <c r="Q391">
        <v>70280469</v>
      </c>
      <c r="R391" s="3">
        <v>0.98887400000000003</v>
      </c>
      <c r="S391">
        <v>35458259</v>
      </c>
      <c r="T391">
        <v>35612936</v>
      </c>
      <c r="U391">
        <v>118737</v>
      </c>
      <c r="V391" s="3">
        <v>1.6706799999999999E-3</v>
      </c>
      <c r="W391">
        <v>56126.5</v>
      </c>
      <c r="X391">
        <v>227</v>
      </c>
    </row>
    <row r="392" spans="1:24" x14ac:dyDescent="0.3">
      <c r="A392" t="s">
        <v>476</v>
      </c>
      <c r="B392" t="s">
        <v>295</v>
      </c>
      <c r="C392" t="s">
        <v>97</v>
      </c>
      <c r="D392" t="s">
        <v>491</v>
      </c>
      <c r="F392">
        <v>48736681</v>
      </c>
      <c r="G392">
        <v>48274054</v>
      </c>
      <c r="H392" s="3">
        <v>0.99050800000000006</v>
      </c>
      <c r="I392">
        <v>24550060</v>
      </c>
      <c r="J392" s="3">
        <v>0.50372899999999998</v>
      </c>
      <c r="K392">
        <v>24186621</v>
      </c>
      <c r="L392" s="3">
        <v>0.49627100000000002</v>
      </c>
      <c r="M392">
        <v>5866552</v>
      </c>
      <c r="N392" s="3">
        <v>0.12037200000000001</v>
      </c>
      <c r="Q392">
        <v>48183772</v>
      </c>
      <c r="R392" s="3">
        <v>0.98865499999999995</v>
      </c>
      <c r="S392">
        <v>24274458</v>
      </c>
      <c r="T392">
        <v>24462223</v>
      </c>
      <c r="U392">
        <v>90282</v>
      </c>
      <c r="V392" s="3">
        <v>1.8524399999999999E-3</v>
      </c>
      <c r="W392">
        <v>63634.9</v>
      </c>
      <c r="X392">
        <v>238</v>
      </c>
    </row>
    <row r="393" spans="1:24" x14ac:dyDescent="0.3">
      <c r="A393" t="s">
        <v>476</v>
      </c>
      <c r="B393" t="s">
        <v>295</v>
      </c>
      <c r="C393" t="s">
        <v>97</v>
      </c>
      <c r="D393" t="s">
        <v>492</v>
      </c>
      <c r="F393">
        <v>61873526</v>
      </c>
      <c r="G393">
        <v>61302082</v>
      </c>
      <c r="H393" s="3">
        <v>0.99076399999999998</v>
      </c>
      <c r="I393">
        <v>31161601</v>
      </c>
      <c r="J393" s="3">
        <v>0.50363400000000003</v>
      </c>
      <c r="K393">
        <v>30711925</v>
      </c>
      <c r="L393" s="3">
        <v>0.49636599999999997</v>
      </c>
      <c r="M393">
        <v>7157415</v>
      </c>
      <c r="N393" s="3">
        <v>0.115678</v>
      </c>
      <c r="Q393">
        <v>61193346</v>
      </c>
      <c r="R393" s="3">
        <v>0.98900699999999997</v>
      </c>
      <c r="S393">
        <v>30862636</v>
      </c>
      <c r="T393">
        <v>31010890</v>
      </c>
      <c r="U393">
        <v>108736</v>
      </c>
      <c r="V393" s="3">
        <v>1.75739E-3</v>
      </c>
      <c r="W393">
        <v>60292.4</v>
      </c>
      <c r="X393">
        <v>239</v>
      </c>
    </row>
    <row r="394" spans="1:24" x14ac:dyDescent="0.3">
      <c r="A394" t="s">
        <v>476</v>
      </c>
      <c r="B394" t="s">
        <v>295</v>
      </c>
      <c r="C394" t="s">
        <v>97</v>
      </c>
      <c r="D394" t="s">
        <v>493</v>
      </c>
      <c r="F394">
        <v>50724298</v>
      </c>
      <c r="G394">
        <v>50186061</v>
      </c>
      <c r="H394" s="3">
        <v>0.98938899999999996</v>
      </c>
      <c r="I394">
        <v>25574597</v>
      </c>
      <c r="J394" s="3">
        <v>0.50418799999999997</v>
      </c>
      <c r="K394">
        <v>25149701</v>
      </c>
      <c r="L394" s="3">
        <v>0.49581199999999997</v>
      </c>
      <c r="M394">
        <v>6583707</v>
      </c>
      <c r="N394" s="3">
        <v>0.12979399999999999</v>
      </c>
      <c r="Q394">
        <v>50089540</v>
      </c>
      <c r="R394" s="3">
        <v>0.98748599999999997</v>
      </c>
      <c r="S394">
        <v>25255903</v>
      </c>
      <c r="T394">
        <v>25468395</v>
      </c>
      <c r="U394">
        <v>96521</v>
      </c>
      <c r="V394" s="3">
        <v>1.9028599999999999E-3</v>
      </c>
      <c r="W394">
        <v>64756.9</v>
      </c>
      <c r="X394">
        <v>224</v>
      </c>
    </row>
    <row r="395" spans="1:24" x14ac:dyDescent="0.3">
      <c r="A395" t="s">
        <v>476</v>
      </c>
      <c r="B395" t="s">
        <v>295</v>
      </c>
      <c r="C395" t="s">
        <v>97</v>
      </c>
      <c r="D395" t="s">
        <v>494</v>
      </c>
      <c r="F395">
        <v>57023806</v>
      </c>
      <c r="G395">
        <v>56522048</v>
      </c>
      <c r="H395" s="3">
        <v>0.991201</v>
      </c>
      <c r="I395">
        <v>28702466</v>
      </c>
      <c r="J395" s="3">
        <v>0.50334199999999996</v>
      </c>
      <c r="K395">
        <v>28321340</v>
      </c>
      <c r="L395" s="3">
        <v>0.49665799999999999</v>
      </c>
      <c r="M395">
        <v>6362325</v>
      </c>
      <c r="N395" s="3">
        <v>0.11157300000000001</v>
      </c>
      <c r="Q395">
        <v>56411870</v>
      </c>
      <c r="R395" s="3">
        <v>0.98926899999999995</v>
      </c>
      <c r="S395">
        <v>28392107</v>
      </c>
      <c r="T395">
        <v>28631699</v>
      </c>
      <c r="U395">
        <v>110178</v>
      </c>
      <c r="V395" s="3">
        <v>1.9321399999999999E-3</v>
      </c>
      <c r="W395">
        <v>66620.600000000006</v>
      </c>
      <c r="X395">
        <v>265</v>
      </c>
    </row>
    <row r="396" spans="1:24" x14ac:dyDescent="0.3">
      <c r="A396" t="s">
        <v>476</v>
      </c>
      <c r="B396" t="s">
        <v>295</v>
      </c>
      <c r="C396" t="s">
        <v>97</v>
      </c>
      <c r="D396" t="s">
        <v>495</v>
      </c>
      <c r="F396">
        <v>56554807</v>
      </c>
      <c r="G396">
        <v>54596438</v>
      </c>
      <c r="H396" s="3">
        <v>0.96537200000000001</v>
      </c>
      <c r="I396">
        <v>29185607</v>
      </c>
      <c r="J396" s="3">
        <v>0.51605900000000005</v>
      </c>
      <c r="K396">
        <v>27369200</v>
      </c>
      <c r="L396" s="3">
        <v>0.48394100000000001</v>
      </c>
      <c r="M396">
        <v>8894270</v>
      </c>
      <c r="N396" s="3">
        <v>0.15726799999999999</v>
      </c>
      <c r="Q396">
        <v>54484044</v>
      </c>
      <c r="R396" s="3">
        <v>0.96338500000000005</v>
      </c>
      <c r="S396">
        <v>28191577</v>
      </c>
      <c r="T396">
        <v>28363230</v>
      </c>
      <c r="U396">
        <v>112394</v>
      </c>
      <c r="V396" s="3">
        <v>1.9873500000000001E-3</v>
      </c>
      <c r="W396">
        <v>50990.400000000001</v>
      </c>
      <c r="X396">
        <v>221</v>
      </c>
    </row>
    <row r="397" spans="1:24" x14ac:dyDescent="0.3">
      <c r="A397" t="s">
        <v>476</v>
      </c>
      <c r="B397" t="s">
        <v>295</v>
      </c>
      <c r="C397" t="s">
        <v>97</v>
      </c>
      <c r="D397" t="s">
        <v>496</v>
      </c>
      <c r="F397">
        <v>61902476</v>
      </c>
      <c r="G397">
        <v>61418186</v>
      </c>
      <c r="H397" s="3">
        <v>0.99217699999999998</v>
      </c>
      <c r="I397">
        <v>31127608</v>
      </c>
      <c r="J397" s="3">
        <v>0.50284899999999999</v>
      </c>
      <c r="K397">
        <v>30774868</v>
      </c>
      <c r="L397" s="3">
        <v>0.49715100000000001</v>
      </c>
      <c r="M397">
        <v>7434678</v>
      </c>
      <c r="N397" s="3">
        <v>0.120103</v>
      </c>
      <c r="Q397">
        <v>61297663</v>
      </c>
      <c r="R397" s="3">
        <v>0.99023000000000005</v>
      </c>
      <c r="S397">
        <v>30816511</v>
      </c>
      <c r="T397">
        <v>31085965</v>
      </c>
      <c r="U397">
        <v>120523</v>
      </c>
      <c r="V397" s="3">
        <v>1.9469800000000001E-3</v>
      </c>
      <c r="W397">
        <v>65036.6</v>
      </c>
      <c r="X397">
        <v>225</v>
      </c>
    </row>
    <row r="398" spans="1:24" x14ac:dyDescent="0.3">
      <c r="A398" t="s">
        <v>476</v>
      </c>
      <c r="B398" t="s">
        <v>295</v>
      </c>
      <c r="C398" t="s">
        <v>97</v>
      </c>
      <c r="D398" t="s">
        <v>497</v>
      </c>
      <c r="F398">
        <v>48407737</v>
      </c>
      <c r="G398">
        <v>48057153</v>
      </c>
      <c r="H398" s="3">
        <v>0.99275800000000003</v>
      </c>
      <c r="I398">
        <v>24323897</v>
      </c>
      <c r="J398" s="3">
        <v>0.50247900000000001</v>
      </c>
      <c r="K398">
        <v>24083840</v>
      </c>
      <c r="L398" s="3">
        <v>0.49752000000000002</v>
      </c>
      <c r="M398">
        <v>5808199</v>
      </c>
      <c r="N398" s="3">
        <v>0.11998499999999999</v>
      </c>
      <c r="Q398">
        <v>47963056</v>
      </c>
      <c r="R398" s="3">
        <v>0.99081399999999997</v>
      </c>
      <c r="S398">
        <v>24109117</v>
      </c>
      <c r="T398">
        <v>24298620</v>
      </c>
      <c r="U398">
        <v>94097</v>
      </c>
      <c r="V398" s="3">
        <v>1.9438400000000001E-3</v>
      </c>
      <c r="W398">
        <v>68747.199999999997</v>
      </c>
      <c r="X398">
        <v>225</v>
      </c>
    </row>
    <row r="399" spans="1:24" x14ac:dyDescent="0.3">
      <c r="A399" t="s">
        <v>476</v>
      </c>
      <c r="B399" t="s">
        <v>295</v>
      </c>
      <c r="C399" t="s">
        <v>97</v>
      </c>
      <c r="D399" t="s">
        <v>498</v>
      </c>
      <c r="F399">
        <v>58209088</v>
      </c>
      <c r="G399">
        <v>57632923</v>
      </c>
      <c r="H399" s="3">
        <v>0.99010200000000004</v>
      </c>
      <c r="I399">
        <v>29327259</v>
      </c>
      <c r="J399" s="3">
        <v>0.503826</v>
      </c>
      <c r="K399">
        <v>28881829</v>
      </c>
      <c r="L399" s="3">
        <v>0.496174</v>
      </c>
      <c r="M399">
        <v>7572584</v>
      </c>
      <c r="N399" s="3">
        <v>0.13009299999999999</v>
      </c>
      <c r="Q399">
        <v>57519889</v>
      </c>
      <c r="R399" s="3">
        <v>0.98816000000000004</v>
      </c>
      <c r="S399">
        <v>28975853</v>
      </c>
      <c r="T399">
        <v>29233235</v>
      </c>
      <c r="U399">
        <v>113034</v>
      </c>
      <c r="V399" s="3">
        <v>1.9418599999999999E-3</v>
      </c>
      <c r="W399">
        <v>65345.7</v>
      </c>
      <c r="X399">
        <v>223</v>
      </c>
    </row>
    <row r="400" spans="1:24" x14ac:dyDescent="0.3">
      <c r="A400" t="s">
        <v>476</v>
      </c>
      <c r="B400" t="s">
        <v>295</v>
      </c>
      <c r="C400" t="s">
        <v>97</v>
      </c>
      <c r="D400" t="s">
        <v>499</v>
      </c>
      <c r="F400">
        <v>51934942</v>
      </c>
      <c r="G400">
        <v>51312124</v>
      </c>
      <c r="H400" s="3">
        <v>0.988008</v>
      </c>
      <c r="I400">
        <v>26213415</v>
      </c>
      <c r="J400" s="3">
        <v>0.50473599999999996</v>
      </c>
      <c r="K400">
        <v>25721527</v>
      </c>
      <c r="L400" s="3">
        <v>0.49526399999999998</v>
      </c>
      <c r="M400">
        <v>6554086</v>
      </c>
      <c r="N400" s="3">
        <v>0.126198</v>
      </c>
      <c r="Q400">
        <v>51191658</v>
      </c>
      <c r="R400" s="3">
        <v>0.98568800000000001</v>
      </c>
      <c r="S400">
        <v>25798224</v>
      </c>
      <c r="T400">
        <v>26136718</v>
      </c>
      <c r="U400">
        <v>120466</v>
      </c>
      <c r="V400" s="3">
        <v>2.31956E-3</v>
      </c>
      <c r="W400">
        <v>62224</v>
      </c>
      <c r="X400">
        <v>228</v>
      </c>
    </row>
    <row r="401" spans="1:24" x14ac:dyDescent="0.3">
      <c r="A401" t="s">
        <v>476</v>
      </c>
      <c r="B401" t="s">
        <v>295</v>
      </c>
      <c r="C401" t="s">
        <v>97</v>
      </c>
      <c r="D401" t="s">
        <v>500</v>
      </c>
      <c r="F401">
        <v>61402630</v>
      </c>
      <c r="G401">
        <v>60785612</v>
      </c>
      <c r="H401" s="3">
        <v>0.98995100000000003</v>
      </c>
      <c r="I401">
        <v>30935782</v>
      </c>
      <c r="J401" s="3">
        <v>0.50381900000000002</v>
      </c>
      <c r="K401">
        <v>30466848</v>
      </c>
      <c r="L401" s="3">
        <v>0.49618099999999998</v>
      </c>
      <c r="M401">
        <v>7877456</v>
      </c>
      <c r="N401" s="3">
        <v>0.12829199999999999</v>
      </c>
      <c r="Q401">
        <v>60667876</v>
      </c>
      <c r="R401" s="3">
        <v>0.98803399999999997</v>
      </c>
      <c r="S401">
        <v>30567485</v>
      </c>
      <c r="T401">
        <v>30835145</v>
      </c>
      <c r="U401">
        <v>117736</v>
      </c>
      <c r="V401" s="3">
        <v>1.9174400000000001E-3</v>
      </c>
      <c r="W401">
        <v>60759.6</v>
      </c>
      <c r="X401">
        <v>219</v>
      </c>
    </row>
    <row r="402" spans="1:24" x14ac:dyDescent="0.3">
      <c r="A402" t="s">
        <v>256</v>
      </c>
      <c r="B402" t="s">
        <v>295</v>
      </c>
      <c r="C402" t="s">
        <v>253</v>
      </c>
      <c r="D402" t="s">
        <v>110</v>
      </c>
      <c r="E402" t="s">
        <v>34</v>
      </c>
      <c r="F402">
        <v>59246397</v>
      </c>
      <c r="G402">
        <v>58801182</v>
      </c>
      <c r="H402" s="3">
        <v>0.99248499999999995</v>
      </c>
      <c r="I402">
        <v>29855721</v>
      </c>
      <c r="J402" s="3">
        <v>0.50392499999999996</v>
      </c>
      <c r="K402">
        <v>29390676</v>
      </c>
      <c r="L402" s="3">
        <v>0.49607499999999999</v>
      </c>
      <c r="Q402">
        <v>58641580</v>
      </c>
      <c r="R402" s="3">
        <v>0.98979099999999998</v>
      </c>
      <c r="S402">
        <v>29564312</v>
      </c>
      <c r="T402">
        <v>29682085</v>
      </c>
      <c r="U402">
        <v>159602</v>
      </c>
      <c r="V402" s="3">
        <v>2.6938700000000001E-3</v>
      </c>
      <c r="W402">
        <v>16270.4</v>
      </c>
      <c r="X402">
        <v>237</v>
      </c>
    </row>
    <row r="403" spans="1:24" x14ac:dyDescent="0.3">
      <c r="A403" t="s">
        <v>256</v>
      </c>
      <c r="B403" t="s">
        <v>295</v>
      </c>
      <c r="C403" t="s">
        <v>253</v>
      </c>
      <c r="D403" t="s">
        <v>109</v>
      </c>
      <c r="E403" t="s">
        <v>25</v>
      </c>
      <c r="F403">
        <v>60778302</v>
      </c>
      <c r="G403">
        <v>60235986</v>
      </c>
      <c r="H403" s="3">
        <v>0.99107699999999999</v>
      </c>
      <c r="I403">
        <v>30670052</v>
      </c>
      <c r="J403" s="3">
        <v>0.50462200000000001</v>
      </c>
      <c r="K403">
        <v>30108250</v>
      </c>
      <c r="L403" s="3">
        <v>0.49537799999999999</v>
      </c>
      <c r="Q403">
        <v>60066325</v>
      </c>
      <c r="R403" s="3">
        <v>0.988286</v>
      </c>
      <c r="S403">
        <v>30330222</v>
      </c>
      <c r="T403">
        <v>30448080</v>
      </c>
      <c r="U403">
        <v>169661</v>
      </c>
      <c r="V403" s="3">
        <v>2.7914699999999999E-3</v>
      </c>
      <c r="W403">
        <v>16876.3</v>
      </c>
      <c r="X403">
        <v>230</v>
      </c>
    </row>
    <row r="404" spans="1:24" x14ac:dyDescent="0.3">
      <c r="A404" t="s">
        <v>256</v>
      </c>
      <c r="B404" t="s">
        <v>295</v>
      </c>
      <c r="C404" t="s">
        <v>253</v>
      </c>
      <c r="D404" t="s">
        <v>111</v>
      </c>
      <c r="E404" t="s">
        <v>34</v>
      </c>
      <c r="F404">
        <v>59576719</v>
      </c>
      <c r="G404">
        <v>58978803</v>
      </c>
      <c r="H404" s="3">
        <v>0.98996399999999996</v>
      </c>
      <c r="I404">
        <v>30095252</v>
      </c>
      <c r="J404" s="3">
        <v>0.50515100000000002</v>
      </c>
      <c r="K404">
        <v>29481467</v>
      </c>
      <c r="L404" s="3">
        <v>0.49484899999999998</v>
      </c>
      <c r="Q404">
        <v>58809984</v>
      </c>
      <c r="R404" s="3">
        <v>0.98712999999999995</v>
      </c>
      <c r="S404">
        <v>29733506</v>
      </c>
      <c r="T404">
        <v>29843213</v>
      </c>
      <c r="U404">
        <v>168819</v>
      </c>
      <c r="V404" s="3">
        <v>2.8336400000000001E-3</v>
      </c>
      <c r="W404">
        <v>16177.1</v>
      </c>
      <c r="X404">
        <v>224</v>
      </c>
    </row>
    <row r="405" spans="1:24" x14ac:dyDescent="0.3">
      <c r="A405" t="s">
        <v>256</v>
      </c>
      <c r="B405" t="s">
        <v>295</v>
      </c>
      <c r="C405" t="s">
        <v>253</v>
      </c>
      <c r="D405" t="s">
        <v>108</v>
      </c>
      <c r="E405" t="s">
        <v>25</v>
      </c>
      <c r="F405">
        <v>58236062</v>
      </c>
      <c r="G405">
        <v>57640389</v>
      </c>
      <c r="H405" s="3">
        <v>0.98977099999999996</v>
      </c>
      <c r="I405">
        <v>29424694</v>
      </c>
      <c r="J405" s="3">
        <v>0.50526599999999999</v>
      </c>
      <c r="K405">
        <v>28811368</v>
      </c>
      <c r="L405" s="3">
        <v>0.49473400000000001</v>
      </c>
      <c r="Q405">
        <v>57442553</v>
      </c>
      <c r="R405" s="3">
        <v>0.98637399999999997</v>
      </c>
      <c r="S405">
        <v>29050420</v>
      </c>
      <c r="T405">
        <v>29185642</v>
      </c>
      <c r="U405">
        <v>197836</v>
      </c>
      <c r="V405" s="3">
        <v>3.3971399999999999E-3</v>
      </c>
      <c r="W405">
        <v>18863.3</v>
      </c>
      <c r="X405">
        <v>274</v>
      </c>
    </row>
    <row r="406" spans="1:24" x14ac:dyDescent="0.3">
      <c r="A406" t="s">
        <v>256</v>
      </c>
      <c r="B406" t="s">
        <v>295</v>
      </c>
      <c r="C406" t="s">
        <v>142</v>
      </c>
      <c r="D406" t="s">
        <v>111</v>
      </c>
      <c r="E406" t="s">
        <v>34</v>
      </c>
      <c r="F406">
        <v>29298273</v>
      </c>
      <c r="G406">
        <v>11605582</v>
      </c>
      <c r="H406" s="3">
        <v>0.39600000000000002</v>
      </c>
    </row>
    <row r="407" spans="1:24" x14ac:dyDescent="0.3">
      <c r="A407" t="s">
        <v>256</v>
      </c>
      <c r="B407" t="s">
        <v>295</v>
      </c>
      <c r="C407" t="s">
        <v>142</v>
      </c>
      <c r="D407" t="s">
        <v>110</v>
      </c>
      <c r="E407" t="s">
        <v>34</v>
      </c>
      <c r="F407">
        <v>29143828</v>
      </c>
      <c r="G407">
        <v>11479416</v>
      </c>
      <c r="H407" s="3">
        <v>0.39400000000000002</v>
      </c>
    </row>
    <row r="408" spans="1:24" x14ac:dyDescent="0.3">
      <c r="A408" t="s">
        <v>256</v>
      </c>
      <c r="B408" t="s">
        <v>295</v>
      </c>
      <c r="C408" t="s">
        <v>142</v>
      </c>
      <c r="D408" t="s">
        <v>109</v>
      </c>
      <c r="E408" t="s">
        <v>25</v>
      </c>
      <c r="F408">
        <v>29881638</v>
      </c>
      <c r="G408">
        <v>11628466</v>
      </c>
      <c r="H408" s="3">
        <v>0.38900000000000001</v>
      </c>
    </row>
    <row r="409" spans="1:24" x14ac:dyDescent="0.3">
      <c r="A409" t="s">
        <v>256</v>
      </c>
      <c r="B409" t="s">
        <v>295</v>
      </c>
      <c r="C409" t="s">
        <v>142</v>
      </c>
      <c r="D409" t="s">
        <v>108</v>
      </c>
      <c r="E409" t="s">
        <v>25</v>
      </c>
      <c r="F409">
        <v>28643203</v>
      </c>
      <c r="G409">
        <v>10574182</v>
      </c>
      <c r="H409" s="3">
        <v>0.36899999999999999</v>
      </c>
    </row>
    <row r="410" spans="1:24" x14ac:dyDescent="0.3">
      <c r="A410" t="s">
        <v>256</v>
      </c>
      <c r="B410" t="s">
        <v>295</v>
      </c>
      <c r="C410" t="s">
        <v>254</v>
      </c>
      <c r="D410" t="s">
        <v>109</v>
      </c>
      <c r="E410" t="s">
        <v>25</v>
      </c>
      <c r="F410">
        <v>29881638</v>
      </c>
      <c r="G410">
        <v>26862559</v>
      </c>
      <c r="H410" s="3">
        <v>0.89900000000000002</v>
      </c>
    </row>
    <row r="411" spans="1:24" x14ac:dyDescent="0.3">
      <c r="A411" t="s">
        <v>256</v>
      </c>
      <c r="B411" t="s">
        <v>295</v>
      </c>
      <c r="C411" t="s">
        <v>254</v>
      </c>
      <c r="D411" t="s">
        <v>110</v>
      </c>
      <c r="E411" t="s">
        <v>34</v>
      </c>
      <c r="F411">
        <v>29143828</v>
      </c>
      <c r="G411">
        <v>26021369</v>
      </c>
      <c r="H411" s="3">
        <v>0.89300000000000002</v>
      </c>
    </row>
    <row r="412" spans="1:24" x14ac:dyDescent="0.3">
      <c r="A412" t="s">
        <v>256</v>
      </c>
      <c r="B412" t="s">
        <v>295</v>
      </c>
      <c r="C412" t="s">
        <v>254</v>
      </c>
      <c r="D412" t="s">
        <v>111</v>
      </c>
      <c r="E412" t="s">
        <v>34</v>
      </c>
      <c r="F412">
        <v>29298273</v>
      </c>
      <c r="G412">
        <v>26159931</v>
      </c>
      <c r="H412" s="3">
        <v>0.89300000000000002</v>
      </c>
    </row>
    <row r="413" spans="1:24" x14ac:dyDescent="0.3">
      <c r="A413" t="s">
        <v>256</v>
      </c>
      <c r="B413" t="s">
        <v>295</v>
      </c>
      <c r="C413" t="s">
        <v>254</v>
      </c>
      <c r="D413" t="s">
        <v>108</v>
      </c>
      <c r="E413" t="s">
        <v>25</v>
      </c>
      <c r="F413">
        <v>28643203</v>
      </c>
      <c r="G413">
        <v>24764546</v>
      </c>
      <c r="H413" s="3">
        <v>0.86499999999999999</v>
      </c>
    </row>
    <row r="414" spans="1:24" x14ac:dyDescent="0.3">
      <c r="A414" t="s">
        <v>256</v>
      </c>
      <c r="B414" t="s">
        <v>295</v>
      </c>
      <c r="C414" t="s">
        <v>252</v>
      </c>
      <c r="D414" t="s">
        <v>108</v>
      </c>
      <c r="E414" t="s">
        <v>25</v>
      </c>
      <c r="F414">
        <v>71383955</v>
      </c>
      <c r="G414">
        <v>67291370</v>
      </c>
      <c r="H414" s="3">
        <v>0.94266799999999995</v>
      </c>
      <c r="I414">
        <v>37654721</v>
      </c>
      <c r="J414" s="3">
        <v>0.52749599999999996</v>
      </c>
      <c r="K414">
        <v>33729234</v>
      </c>
      <c r="L414" s="3">
        <v>0.47250399999999998</v>
      </c>
      <c r="Q414">
        <v>67291225</v>
      </c>
      <c r="R414" s="3">
        <v>0.942666</v>
      </c>
      <c r="S414">
        <v>35975027</v>
      </c>
      <c r="T414">
        <v>35408928</v>
      </c>
      <c r="U414">
        <v>145</v>
      </c>
      <c r="V414" s="3">
        <v>2.03127E-6</v>
      </c>
      <c r="W414">
        <v>67948.399999999994</v>
      </c>
      <c r="X414">
        <v>280</v>
      </c>
    </row>
    <row r="415" spans="1:24" x14ac:dyDescent="0.3">
      <c r="A415" t="s">
        <v>256</v>
      </c>
      <c r="B415" t="s">
        <v>295</v>
      </c>
      <c r="C415" t="s">
        <v>252</v>
      </c>
      <c r="D415" t="s">
        <v>110</v>
      </c>
      <c r="E415" t="s">
        <v>34</v>
      </c>
      <c r="F415">
        <v>70064996</v>
      </c>
      <c r="G415">
        <v>65933134</v>
      </c>
      <c r="H415" s="3">
        <v>0.94102799999999998</v>
      </c>
      <c r="I415">
        <v>37003148</v>
      </c>
      <c r="J415" s="3">
        <v>0.52812599999999998</v>
      </c>
      <c r="K415">
        <v>33061848</v>
      </c>
      <c r="L415" s="3">
        <v>0.47187400000000002</v>
      </c>
      <c r="Q415">
        <v>65932941</v>
      </c>
      <c r="R415" s="3">
        <v>0.941025</v>
      </c>
      <c r="S415">
        <v>35394292</v>
      </c>
      <c r="T415">
        <v>34670704</v>
      </c>
      <c r="U415">
        <v>193</v>
      </c>
      <c r="V415" s="3">
        <v>2.75459E-6</v>
      </c>
      <c r="W415">
        <v>56129.8</v>
      </c>
      <c r="X415">
        <v>241</v>
      </c>
    </row>
    <row r="416" spans="1:24" x14ac:dyDescent="0.3">
      <c r="A416" t="s">
        <v>256</v>
      </c>
      <c r="B416" t="s">
        <v>295</v>
      </c>
      <c r="C416" t="s">
        <v>252</v>
      </c>
      <c r="D416" t="s">
        <v>109</v>
      </c>
      <c r="E416" t="s">
        <v>25</v>
      </c>
      <c r="F416">
        <v>71137814</v>
      </c>
      <c r="G416">
        <v>66923302</v>
      </c>
      <c r="H416" s="3">
        <v>0.94075600000000004</v>
      </c>
      <c r="I416">
        <v>37589836</v>
      </c>
      <c r="J416" s="3">
        <v>0.52840900000000002</v>
      </c>
      <c r="K416">
        <v>33547978</v>
      </c>
      <c r="L416" s="3">
        <v>0.47159099999999998</v>
      </c>
      <c r="Q416">
        <v>66923156</v>
      </c>
      <c r="R416" s="3">
        <v>0.94075399999999998</v>
      </c>
      <c r="S416">
        <v>35984314</v>
      </c>
      <c r="T416">
        <v>35153500</v>
      </c>
      <c r="U416">
        <v>146</v>
      </c>
      <c r="V416" s="3">
        <v>2.0523499999999999E-6</v>
      </c>
      <c r="W416">
        <v>54065.7</v>
      </c>
      <c r="X416">
        <v>234</v>
      </c>
    </row>
    <row r="417" spans="1:24" x14ac:dyDescent="0.3">
      <c r="A417" t="s">
        <v>256</v>
      </c>
      <c r="B417" t="s">
        <v>295</v>
      </c>
      <c r="C417" t="s">
        <v>252</v>
      </c>
      <c r="D417" t="s">
        <v>111</v>
      </c>
      <c r="E417" t="s">
        <v>34</v>
      </c>
      <c r="F417">
        <v>70780005</v>
      </c>
      <c r="G417">
        <v>66523588</v>
      </c>
      <c r="H417" s="3">
        <v>0.93986400000000003</v>
      </c>
      <c r="I417">
        <v>37439866</v>
      </c>
      <c r="J417" s="3">
        <v>0.52896100000000001</v>
      </c>
      <c r="K417">
        <v>33340139</v>
      </c>
      <c r="L417" s="3">
        <v>0.47103899999999999</v>
      </c>
      <c r="Q417">
        <v>66523386</v>
      </c>
      <c r="R417" s="3">
        <v>0.93986099999999995</v>
      </c>
      <c r="S417">
        <v>35806355</v>
      </c>
      <c r="T417">
        <v>34973650</v>
      </c>
      <c r="U417">
        <v>202</v>
      </c>
      <c r="V417" s="3">
        <v>2.8539100000000002E-6</v>
      </c>
      <c r="W417">
        <v>57266.9</v>
      </c>
      <c r="X417">
        <v>228</v>
      </c>
    </row>
    <row r="418" spans="1:24" x14ac:dyDescent="0.3">
      <c r="A418" t="s">
        <v>256</v>
      </c>
      <c r="B418" t="s">
        <v>295</v>
      </c>
      <c r="C418" t="s">
        <v>88</v>
      </c>
      <c r="D418" t="s">
        <v>111</v>
      </c>
      <c r="E418" t="s">
        <v>34</v>
      </c>
      <c r="F418">
        <v>59062826</v>
      </c>
      <c r="G418">
        <v>45606309</v>
      </c>
      <c r="H418" s="3">
        <v>0.77216600000000002</v>
      </c>
      <c r="I418">
        <v>35292048</v>
      </c>
      <c r="J418" s="3">
        <v>0.59753400000000001</v>
      </c>
      <c r="K418">
        <v>23770778</v>
      </c>
      <c r="L418" s="3">
        <v>0.40246599999999999</v>
      </c>
      <c r="Q418">
        <v>43499078</v>
      </c>
      <c r="R418" s="3">
        <v>0.73648800000000003</v>
      </c>
      <c r="S418">
        <v>29519578</v>
      </c>
      <c r="T418">
        <v>29543248</v>
      </c>
      <c r="U418">
        <v>2107231</v>
      </c>
      <c r="V418" s="3">
        <v>3.5677800000000003E-2</v>
      </c>
      <c r="W418">
        <v>17646.5</v>
      </c>
      <c r="X418">
        <v>111</v>
      </c>
    </row>
    <row r="419" spans="1:24" x14ac:dyDescent="0.3">
      <c r="A419" t="s">
        <v>256</v>
      </c>
      <c r="B419" t="s">
        <v>295</v>
      </c>
      <c r="C419" t="s">
        <v>88</v>
      </c>
      <c r="D419" t="s">
        <v>109</v>
      </c>
      <c r="E419" t="s">
        <v>25</v>
      </c>
      <c r="F419">
        <v>60235913</v>
      </c>
      <c r="G419">
        <v>46005811</v>
      </c>
      <c r="H419" s="3">
        <v>0.76376100000000002</v>
      </c>
      <c r="I419">
        <v>36186338</v>
      </c>
      <c r="J419" s="3">
        <v>0.60074399999999994</v>
      </c>
      <c r="K419">
        <v>24049575</v>
      </c>
      <c r="L419" s="3">
        <v>0.399256</v>
      </c>
      <c r="Q419">
        <v>43727802</v>
      </c>
      <c r="R419" s="3">
        <v>0.72594199999999998</v>
      </c>
      <c r="S419">
        <v>30108050</v>
      </c>
      <c r="T419">
        <v>30127863</v>
      </c>
      <c r="U419">
        <v>2278009</v>
      </c>
      <c r="V419" s="3">
        <v>3.78181E-2</v>
      </c>
      <c r="W419">
        <v>18614.3</v>
      </c>
      <c r="X419">
        <v>122</v>
      </c>
    </row>
    <row r="420" spans="1:24" x14ac:dyDescent="0.3">
      <c r="A420" t="s">
        <v>256</v>
      </c>
      <c r="B420" t="s">
        <v>295</v>
      </c>
      <c r="C420" t="s">
        <v>88</v>
      </c>
      <c r="D420" t="s">
        <v>110</v>
      </c>
      <c r="E420" t="s">
        <v>34</v>
      </c>
      <c r="F420">
        <v>58739316</v>
      </c>
      <c r="G420">
        <v>44264708</v>
      </c>
      <c r="H420" s="3">
        <v>0.753579</v>
      </c>
      <c r="I420">
        <v>35536765</v>
      </c>
      <c r="J420" s="3">
        <v>0.60499099999999995</v>
      </c>
      <c r="K420">
        <v>23202551</v>
      </c>
      <c r="L420" s="3">
        <v>0.395009</v>
      </c>
      <c r="Q420">
        <v>41933084</v>
      </c>
      <c r="R420" s="3">
        <v>0.71388499999999999</v>
      </c>
      <c r="S420">
        <v>29361305</v>
      </c>
      <c r="T420">
        <v>29378011</v>
      </c>
      <c r="U420">
        <v>2331624</v>
      </c>
      <c r="V420" s="3">
        <v>3.9694399999999998E-2</v>
      </c>
      <c r="W420">
        <v>18354.099999999999</v>
      </c>
      <c r="X420">
        <v>131</v>
      </c>
    </row>
    <row r="421" spans="1:24" x14ac:dyDescent="0.3">
      <c r="A421" t="s">
        <v>256</v>
      </c>
      <c r="B421" t="s">
        <v>295</v>
      </c>
      <c r="C421" t="s">
        <v>88</v>
      </c>
      <c r="D421" t="s">
        <v>108</v>
      </c>
      <c r="E421" t="s">
        <v>25</v>
      </c>
      <c r="F421">
        <v>57722927</v>
      </c>
      <c r="G421">
        <v>40191524</v>
      </c>
      <c r="H421" s="3">
        <v>0.69628299999999999</v>
      </c>
      <c r="I421">
        <v>36276954</v>
      </c>
      <c r="J421" s="3">
        <v>0.628467</v>
      </c>
      <c r="K421">
        <v>21445973</v>
      </c>
      <c r="L421" s="3">
        <v>0.371533</v>
      </c>
      <c r="Q421">
        <v>37289608</v>
      </c>
      <c r="R421" s="3">
        <v>0.64600999999999997</v>
      </c>
      <c r="S421">
        <v>28856487</v>
      </c>
      <c r="T421" s="3">
        <v>28866440</v>
      </c>
      <c r="U421">
        <v>2901916</v>
      </c>
      <c r="V421" s="3">
        <v>5.0273199999999997E-2</v>
      </c>
      <c r="W421">
        <v>20287.099999999999</v>
      </c>
      <c r="X421">
        <v>173</v>
      </c>
    </row>
    <row r="422" spans="1:24" x14ac:dyDescent="0.3">
      <c r="A422" t="s">
        <v>256</v>
      </c>
      <c r="B422" t="s">
        <v>295</v>
      </c>
      <c r="C422" t="s">
        <v>97</v>
      </c>
      <c r="D422" t="s">
        <v>109</v>
      </c>
      <c r="E422" t="s">
        <v>25</v>
      </c>
      <c r="F422">
        <v>60161374</v>
      </c>
      <c r="G422">
        <v>59973483</v>
      </c>
      <c r="H422" s="3">
        <v>0.99687700000000001</v>
      </c>
      <c r="I422">
        <v>30154313</v>
      </c>
      <c r="J422" s="3">
        <v>0.501224</v>
      </c>
      <c r="K422">
        <v>30007061</v>
      </c>
      <c r="L422" s="3">
        <v>0.498776</v>
      </c>
      <c r="M422">
        <v>3127032</v>
      </c>
      <c r="N422" s="3">
        <v>5.19774E-2</v>
      </c>
      <c r="O422">
        <v>0</v>
      </c>
      <c r="P422" s="3">
        <v>1</v>
      </c>
      <c r="Q422">
        <v>59937076</v>
      </c>
      <c r="R422" s="3">
        <v>0.99627200000000005</v>
      </c>
      <c r="S422">
        <v>30066931</v>
      </c>
      <c r="T422">
        <v>30094443</v>
      </c>
      <c r="U422">
        <v>36407</v>
      </c>
      <c r="V422" s="3">
        <v>6.0515600000000003E-4</v>
      </c>
      <c r="W422">
        <v>3608.97</v>
      </c>
      <c r="X422">
        <v>231</v>
      </c>
    </row>
    <row r="423" spans="1:24" x14ac:dyDescent="0.3">
      <c r="A423" t="s">
        <v>256</v>
      </c>
      <c r="B423" t="s">
        <v>295</v>
      </c>
      <c r="C423" t="s">
        <v>97</v>
      </c>
      <c r="D423" t="s">
        <v>111</v>
      </c>
      <c r="E423" t="s">
        <v>34</v>
      </c>
      <c r="F423">
        <v>58978618</v>
      </c>
      <c r="G423">
        <v>58778623</v>
      </c>
      <c r="H423" s="3">
        <v>0.99660899999999997</v>
      </c>
      <c r="I423">
        <v>29569718</v>
      </c>
      <c r="J423" s="3">
        <v>0.501363</v>
      </c>
      <c r="K423">
        <v>29408900</v>
      </c>
      <c r="L423" s="3">
        <v>0.498637</v>
      </c>
      <c r="M423">
        <v>3203260</v>
      </c>
      <c r="N423" s="3">
        <v>5.4312199999999998E-2</v>
      </c>
      <c r="O423">
        <v>0</v>
      </c>
      <c r="P423" s="3">
        <v>1</v>
      </c>
      <c r="Q423">
        <v>58743067</v>
      </c>
      <c r="R423" s="3">
        <v>0.99600599999999995</v>
      </c>
      <c r="S423">
        <v>29475904</v>
      </c>
      <c r="T423">
        <v>29502714</v>
      </c>
      <c r="U423">
        <v>35556</v>
      </c>
      <c r="V423" s="3">
        <v>6.0286300000000003E-4</v>
      </c>
      <c r="W423">
        <v>3652.08</v>
      </c>
      <c r="X423">
        <v>225</v>
      </c>
    </row>
    <row r="424" spans="1:24" x14ac:dyDescent="0.3">
      <c r="A424" t="s">
        <v>256</v>
      </c>
      <c r="B424" t="s">
        <v>295</v>
      </c>
      <c r="C424" t="s">
        <v>97</v>
      </c>
      <c r="D424" t="s">
        <v>110</v>
      </c>
      <c r="E424" t="s">
        <v>34</v>
      </c>
      <c r="F424">
        <v>58665265</v>
      </c>
      <c r="G424">
        <v>58452571</v>
      </c>
      <c r="H424" s="3">
        <v>0.99637500000000001</v>
      </c>
      <c r="I424">
        <v>29418895</v>
      </c>
      <c r="J424" s="3">
        <v>0.50146999999999997</v>
      </c>
      <c r="K424">
        <v>29246370</v>
      </c>
      <c r="L424" s="3">
        <v>0.49852999999999997</v>
      </c>
      <c r="M424">
        <v>3139556</v>
      </c>
      <c r="N424" s="3">
        <v>5.3516399999999999E-2</v>
      </c>
      <c r="O424">
        <v>0</v>
      </c>
      <c r="P424" s="3">
        <v>1</v>
      </c>
      <c r="Q424">
        <v>58415400</v>
      </c>
      <c r="R424" s="3">
        <v>0.99574099999999999</v>
      </c>
      <c r="S424">
        <v>29318769</v>
      </c>
      <c r="T424">
        <v>29346496</v>
      </c>
      <c r="U424">
        <v>37171</v>
      </c>
      <c r="V424" s="3">
        <v>6.3361199999999998E-4</v>
      </c>
      <c r="W424">
        <v>3544.49</v>
      </c>
      <c r="X424">
        <v>238</v>
      </c>
    </row>
    <row r="425" spans="1:24" x14ac:dyDescent="0.3">
      <c r="A425" t="s">
        <v>256</v>
      </c>
      <c r="B425" t="s">
        <v>295</v>
      </c>
      <c r="C425" t="s">
        <v>97</v>
      </c>
      <c r="D425" t="s">
        <v>108</v>
      </c>
      <c r="E425" t="s">
        <v>25</v>
      </c>
      <c r="F425">
        <v>57653482</v>
      </c>
      <c r="G425">
        <v>57279177</v>
      </c>
      <c r="H425" s="3">
        <v>0.99350799999999995</v>
      </c>
      <c r="I425">
        <v>28990378</v>
      </c>
      <c r="J425" s="3">
        <v>0.50283800000000001</v>
      </c>
      <c r="K425">
        <v>28663104</v>
      </c>
      <c r="L425" s="3">
        <v>0.49716199999999999</v>
      </c>
      <c r="M425">
        <v>3409720</v>
      </c>
      <c r="N425" s="3">
        <v>5.9141600000000003E-2</v>
      </c>
      <c r="O425">
        <v>0</v>
      </c>
      <c r="P425" s="3">
        <v>1</v>
      </c>
      <c r="Q425">
        <v>57235015</v>
      </c>
      <c r="R425" s="3">
        <v>0.99274200000000001</v>
      </c>
      <c r="S425">
        <v>28811277</v>
      </c>
      <c r="T425">
        <v>28842205</v>
      </c>
      <c r="U425">
        <v>44162</v>
      </c>
      <c r="V425" s="3">
        <v>7.6599000000000003E-4</v>
      </c>
      <c r="W425">
        <v>3884.22</v>
      </c>
      <c r="X425">
        <v>275</v>
      </c>
    </row>
  </sheetData>
  <sortState xmlns:xlrd2="http://schemas.microsoft.com/office/spreadsheetml/2017/richdata2" ref="A2:X425">
    <sortCondition ref="A2:A425"/>
    <sortCondition ref="C2:C425"/>
  </sortState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24F2-6D2E-484B-A7E4-A1C421084FB4}">
  <dimension ref="A1:O115"/>
  <sheetViews>
    <sheetView topLeftCell="C1" workbookViewId="0">
      <pane ySplit="1" topLeftCell="A2" activePane="bottomLeft" state="frozen"/>
      <selection pane="bottomLeft" activeCell="O26" sqref="O26"/>
    </sheetView>
  </sheetViews>
  <sheetFormatPr defaultRowHeight="14.4" x14ac:dyDescent="0.3"/>
  <cols>
    <col min="1" max="1" width="9.77734375" bestFit="1" customWidth="1"/>
    <col min="2" max="2" width="14.88671875" bestFit="1" customWidth="1"/>
    <col min="3" max="3" width="17.77734375" bestFit="1" customWidth="1"/>
    <col min="4" max="4" width="20.33203125" bestFit="1" customWidth="1"/>
    <col min="5" max="6" width="16.5546875" bestFit="1" customWidth="1"/>
    <col min="8" max="8" width="16.88671875" bestFit="1" customWidth="1"/>
    <col min="15" max="15" width="22" customWidth="1"/>
  </cols>
  <sheetData>
    <row r="1" spans="1:15" s="2" customFormat="1" x14ac:dyDescent="0.3">
      <c r="A1" s="2" t="s">
        <v>1</v>
      </c>
      <c r="B1" s="2" t="s">
        <v>112</v>
      </c>
      <c r="C1" s="2" t="s">
        <v>113</v>
      </c>
      <c r="D1" s="2" t="s">
        <v>146</v>
      </c>
      <c r="E1" s="2" t="s">
        <v>87</v>
      </c>
      <c r="F1" s="2" t="s">
        <v>163</v>
      </c>
      <c r="G1" s="2" t="s">
        <v>114</v>
      </c>
      <c r="H1" s="2" t="s">
        <v>115</v>
      </c>
      <c r="I1" s="2" t="s">
        <v>116</v>
      </c>
      <c r="J1" s="2" t="s">
        <v>117</v>
      </c>
      <c r="K1" s="2" t="s">
        <v>118</v>
      </c>
      <c r="L1" s="2" t="s">
        <v>119</v>
      </c>
    </row>
    <row r="2" spans="1:15" x14ac:dyDescent="0.3">
      <c r="A2" t="s">
        <v>25</v>
      </c>
      <c r="B2" t="s">
        <v>9</v>
      </c>
      <c r="C2" t="s">
        <v>147</v>
      </c>
      <c r="D2" t="s">
        <v>108</v>
      </c>
      <c r="E2" t="s">
        <v>145</v>
      </c>
      <c r="F2">
        <v>1</v>
      </c>
      <c r="G2">
        <v>10</v>
      </c>
      <c r="H2">
        <v>10</v>
      </c>
      <c r="I2">
        <v>11</v>
      </c>
      <c r="J2">
        <v>12.77</v>
      </c>
      <c r="K2">
        <v>13</v>
      </c>
      <c r="L2">
        <v>16306</v>
      </c>
      <c r="N2" t="s">
        <v>204</v>
      </c>
    </row>
    <row r="3" spans="1:15" x14ac:dyDescent="0.3">
      <c r="A3" t="s">
        <v>25</v>
      </c>
      <c r="B3" t="s">
        <v>9</v>
      </c>
      <c r="C3" t="s">
        <v>147</v>
      </c>
      <c r="D3" t="s">
        <v>109</v>
      </c>
      <c r="E3" t="s">
        <v>145</v>
      </c>
      <c r="F3">
        <v>1</v>
      </c>
      <c r="G3">
        <v>10</v>
      </c>
      <c r="H3">
        <v>10</v>
      </c>
      <c r="I3">
        <v>11</v>
      </c>
      <c r="J3">
        <v>12.72</v>
      </c>
      <c r="K3">
        <v>13</v>
      </c>
      <c r="L3">
        <v>14087</v>
      </c>
    </row>
    <row r="4" spans="1:15" x14ac:dyDescent="0.3">
      <c r="A4" t="s">
        <v>34</v>
      </c>
      <c r="B4" t="s">
        <v>9</v>
      </c>
      <c r="C4" t="s">
        <v>147</v>
      </c>
      <c r="D4" t="s">
        <v>110</v>
      </c>
      <c r="E4" t="s">
        <v>145</v>
      </c>
      <c r="F4">
        <v>1</v>
      </c>
      <c r="G4">
        <v>10</v>
      </c>
      <c r="H4">
        <v>10</v>
      </c>
      <c r="I4">
        <v>11</v>
      </c>
      <c r="J4">
        <v>12.79</v>
      </c>
      <c r="K4">
        <v>13</v>
      </c>
      <c r="L4">
        <v>12522</v>
      </c>
    </row>
    <row r="5" spans="1:15" x14ac:dyDescent="0.3">
      <c r="A5" t="s">
        <v>34</v>
      </c>
      <c r="B5" t="s">
        <v>9</v>
      </c>
      <c r="C5" t="s">
        <v>147</v>
      </c>
      <c r="D5" t="s">
        <v>111</v>
      </c>
      <c r="E5" t="s">
        <v>145</v>
      </c>
      <c r="F5">
        <v>1</v>
      </c>
      <c r="G5">
        <v>10</v>
      </c>
      <c r="H5">
        <v>10</v>
      </c>
      <c r="I5">
        <v>11</v>
      </c>
      <c r="J5">
        <v>12.65</v>
      </c>
      <c r="K5">
        <v>13</v>
      </c>
      <c r="L5">
        <v>10865</v>
      </c>
    </row>
    <row r="6" spans="1:15" x14ac:dyDescent="0.3">
      <c r="A6" t="s">
        <v>20</v>
      </c>
      <c r="B6" t="s">
        <v>9</v>
      </c>
      <c r="C6" t="s">
        <v>120</v>
      </c>
      <c r="D6" t="s">
        <v>122</v>
      </c>
      <c r="E6" t="s">
        <v>145</v>
      </c>
      <c r="F6">
        <v>1</v>
      </c>
      <c r="G6">
        <v>10</v>
      </c>
      <c r="H6" s="4">
        <v>11</v>
      </c>
      <c r="I6" s="4">
        <v>12</v>
      </c>
      <c r="J6" s="4">
        <v>15.01</v>
      </c>
      <c r="K6" s="4">
        <v>15</v>
      </c>
      <c r="L6" s="4">
        <v>12639</v>
      </c>
    </row>
    <row r="7" spans="1:15" x14ac:dyDescent="0.3">
      <c r="A7" t="s">
        <v>20</v>
      </c>
      <c r="B7" t="s">
        <v>9</v>
      </c>
      <c r="C7" t="s">
        <v>120</v>
      </c>
      <c r="D7" t="s">
        <v>123</v>
      </c>
      <c r="E7" t="s">
        <v>145</v>
      </c>
      <c r="F7">
        <v>1</v>
      </c>
      <c r="G7">
        <v>10</v>
      </c>
      <c r="H7" s="4">
        <v>10</v>
      </c>
      <c r="I7" s="4">
        <v>12</v>
      </c>
      <c r="J7" s="4">
        <v>14.68</v>
      </c>
      <c r="K7" s="4">
        <v>14</v>
      </c>
      <c r="L7" s="4">
        <v>11152</v>
      </c>
    </row>
    <row r="8" spans="1:15" x14ac:dyDescent="0.3">
      <c r="A8" t="s">
        <v>15</v>
      </c>
      <c r="B8" t="s">
        <v>9</v>
      </c>
      <c r="C8" t="s">
        <v>120</v>
      </c>
      <c r="D8" t="s">
        <v>124</v>
      </c>
      <c r="E8" t="s">
        <v>145</v>
      </c>
      <c r="F8">
        <v>1</v>
      </c>
      <c r="G8">
        <v>10</v>
      </c>
      <c r="H8" s="4">
        <v>10</v>
      </c>
      <c r="I8" s="4">
        <v>12</v>
      </c>
      <c r="J8" s="4">
        <v>16.02</v>
      </c>
      <c r="K8" s="4">
        <v>14</v>
      </c>
      <c r="L8" s="4">
        <v>27777</v>
      </c>
      <c r="N8">
        <f>AVERAGE(J6:J27)</f>
        <v>14.72909090909091</v>
      </c>
      <c r="O8">
        <f>_xlfn.STDEV.P(J6:J27)</f>
        <v>1.0704285849004127</v>
      </c>
    </row>
    <row r="9" spans="1:15" x14ac:dyDescent="0.3">
      <c r="A9" t="s">
        <v>15</v>
      </c>
      <c r="B9" t="s">
        <v>9</v>
      </c>
      <c r="C9" t="s">
        <v>120</v>
      </c>
      <c r="D9" t="s">
        <v>125</v>
      </c>
      <c r="E9" t="s">
        <v>145</v>
      </c>
      <c r="F9">
        <v>1</v>
      </c>
      <c r="G9">
        <v>10</v>
      </c>
      <c r="H9" s="4">
        <v>11</v>
      </c>
      <c r="I9" s="4">
        <v>12</v>
      </c>
      <c r="J9" s="4">
        <v>14.8</v>
      </c>
      <c r="K9" s="4">
        <v>14</v>
      </c>
      <c r="L9" s="4">
        <v>9278</v>
      </c>
      <c r="N9">
        <f>AVERAGE(J28:J39)</f>
        <v>19.444166666666664</v>
      </c>
      <c r="O9">
        <f>_xlfn.STDEV.S(J28:J39)</f>
        <v>4.22429651665293</v>
      </c>
    </row>
    <row r="10" spans="1:15" x14ac:dyDescent="0.3">
      <c r="A10" t="s">
        <v>10</v>
      </c>
      <c r="B10" t="s">
        <v>9</v>
      </c>
      <c r="C10" t="s">
        <v>120</v>
      </c>
      <c r="D10" t="s">
        <v>126</v>
      </c>
      <c r="E10" t="s">
        <v>145</v>
      </c>
      <c r="F10">
        <v>1</v>
      </c>
      <c r="G10">
        <v>10</v>
      </c>
      <c r="H10" s="4">
        <v>11</v>
      </c>
      <c r="I10" s="4">
        <v>13</v>
      </c>
      <c r="J10" s="4">
        <v>15.11</v>
      </c>
      <c r="K10" s="4">
        <v>17</v>
      </c>
      <c r="L10" s="4">
        <v>4750</v>
      </c>
    </row>
    <row r="11" spans="1:15" x14ac:dyDescent="0.3">
      <c r="A11" t="s">
        <v>10</v>
      </c>
      <c r="B11" t="s">
        <v>9</v>
      </c>
      <c r="C11" t="s">
        <v>120</v>
      </c>
      <c r="D11" t="s">
        <v>127</v>
      </c>
      <c r="E11" t="s">
        <v>145</v>
      </c>
      <c r="F11">
        <v>1</v>
      </c>
      <c r="G11">
        <v>10</v>
      </c>
      <c r="H11" s="4">
        <v>11</v>
      </c>
      <c r="I11" s="4">
        <v>12</v>
      </c>
      <c r="J11" s="4">
        <v>13.89</v>
      </c>
      <c r="K11" s="4">
        <v>15</v>
      </c>
      <c r="L11" s="4">
        <v>2375</v>
      </c>
      <c r="N11">
        <f>AVERAGE(J6:J39)</f>
        <v>16.393235294117648</v>
      </c>
    </row>
    <row r="12" spans="1:15" x14ac:dyDescent="0.3">
      <c r="A12" t="s">
        <v>25</v>
      </c>
      <c r="B12" t="s">
        <v>9</v>
      </c>
      <c r="C12" t="s">
        <v>120</v>
      </c>
      <c r="D12" t="s">
        <v>128</v>
      </c>
      <c r="E12" t="s">
        <v>145</v>
      </c>
      <c r="F12">
        <v>1</v>
      </c>
      <c r="G12">
        <v>10</v>
      </c>
      <c r="H12" s="4">
        <v>10</v>
      </c>
      <c r="I12" s="4">
        <v>12</v>
      </c>
      <c r="J12" s="4">
        <v>13.87</v>
      </c>
      <c r="K12" s="4">
        <v>14</v>
      </c>
      <c r="L12" s="4">
        <v>7051</v>
      </c>
      <c r="N12">
        <f>_xlfn.STDEV.S(J6:J39)</f>
        <v>3.4558862570615432</v>
      </c>
    </row>
    <row r="13" spans="1:15" x14ac:dyDescent="0.3">
      <c r="A13" t="s">
        <v>25</v>
      </c>
      <c r="B13" t="s">
        <v>9</v>
      </c>
      <c r="C13" t="s">
        <v>120</v>
      </c>
      <c r="D13" t="s">
        <v>129</v>
      </c>
      <c r="E13" t="s">
        <v>145</v>
      </c>
      <c r="F13">
        <v>1</v>
      </c>
      <c r="G13">
        <v>10</v>
      </c>
      <c r="H13">
        <v>10</v>
      </c>
      <c r="I13">
        <v>12</v>
      </c>
      <c r="J13">
        <v>13.92</v>
      </c>
      <c r="K13">
        <v>14</v>
      </c>
      <c r="L13">
        <v>5870</v>
      </c>
      <c r="N13">
        <f>_xlfn.STDEV.S(J6:J39)/SQRT(COUNT(J6:J39))</f>
        <v>0.59267960349949522</v>
      </c>
    </row>
    <row r="14" spans="1:15" x14ac:dyDescent="0.3">
      <c r="A14" t="s">
        <v>25</v>
      </c>
      <c r="B14" t="s">
        <v>9</v>
      </c>
      <c r="C14" t="s">
        <v>120</v>
      </c>
      <c r="D14" t="s">
        <v>130</v>
      </c>
      <c r="E14" t="s">
        <v>145</v>
      </c>
      <c r="F14">
        <v>1</v>
      </c>
      <c r="G14">
        <v>10</v>
      </c>
      <c r="H14">
        <v>11</v>
      </c>
      <c r="I14">
        <v>12</v>
      </c>
      <c r="J14">
        <v>13.91</v>
      </c>
      <c r="K14">
        <v>14</v>
      </c>
      <c r="L14">
        <v>9196</v>
      </c>
    </row>
    <row r="15" spans="1:15" x14ac:dyDescent="0.3">
      <c r="A15" t="s">
        <v>25</v>
      </c>
      <c r="B15" t="s">
        <v>9</v>
      </c>
      <c r="C15" t="s">
        <v>120</v>
      </c>
      <c r="D15" t="s">
        <v>131</v>
      </c>
      <c r="E15" t="s">
        <v>145</v>
      </c>
      <c r="F15">
        <v>1</v>
      </c>
      <c r="G15">
        <v>10</v>
      </c>
      <c r="H15">
        <v>10</v>
      </c>
      <c r="I15">
        <v>12</v>
      </c>
      <c r="J15">
        <v>13.97</v>
      </c>
      <c r="K15">
        <v>14</v>
      </c>
      <c r="L15">
        <v>10060</v>
      </c>
      <c r="N15">
        <f>AVERAGE(J2:J5)</f>
        <v>12.7325</v>
      </c>
    </row>
    <row r="16" spans="1:15" x14ac:dyDescent="0.3">
      <c r="A16" t="s">
        <v>34</v>
      </c>
      <c r="B16" t="s">
        <v>9</v>
      </c>
      <c r="C16" t="s">
        <v>120</v>
      </c>
      <c r="D16" t="s">
        <v>132</v>
      </c>
      <c r="E16" t="s">
        <v>145</v>
      </c>
      <c r="F16">
        <v>1</v>
      </c>
      <c r="G16">
        <v>10</v>
      </c>
      <c r="H16">
        <v>10</v>
      </c>
      <c r="I16">
        <v>12</v>
      </c>
      <c r="J16">
        <v>15.36</v>
      </c>
      <c r="K16">
        <v>14</v>
      </c>
      <c r="L16">
        <v>15261</v>
      </c>
      <c r="N16">
        <f>_xlfn.STDEV.S(J2:J5)</f>
        <v>6.2383224240709127E-2</v>
      </c>
    </row>
    <row r="17" spans="1:12" x14ac:dyDescent="0.3">
      <c r="A17" t="s">
        <v>34</v>
      </c>
      <c r="B17" t="s">
        <v>9</v>
      </c>
      <c r="C17" t="s">
        <v>120</v>
      </c>
      <c r="D17" t="s">
        <v>133</v>
      </c>
      <c r="E17" t="s">
        <v>145</v>
      </c>
      <c r="F17">
        <v>1</v>
      </c>
      <c r="G17">
        <v>10</v>
      </c>
      <c r="H17">
        <v>10</v>
      </c>
      <c r="I17">
        <v>11</v>
      </c>
      <c r="J17">
        <v>14.82</v>
      </c>
      <c r="K17">
        <v>13</v>
      </c>
      <c r="L17">
        <v>6900</v>
      </c>
    </row>
    <row r="18" spans="1:12" x14ac:dyDescent="0.3">
      <c r="A18" t="s">
        <v>34</v>
      </c>
      <c r="B18" t="s">
        <v>9</v>
      </c>
      <c r="C18" t="s">
        <v>120</v>
      </c>
      <c r="D18" t="s">
        <v>134</v>
      </c>
      <c r="E18" t="s">
        <v>145</v>
      </c>
      <c r="F18">
        <v>1</v>
      </c>
      <c r="G18">
        <v>10</v>
      </c>
      <c r="H18" s="4">
        <v>11</v>
      </c>
      <c r="I18" s="4">
        <v>12</v>
      </c>
      <c r="J18" s="4">
        <v>14.35</v>
      </c>
      <c r="K18" s="4">
        <v>15</v>
      </c>
      <c r="L18" s="4">
        <v>9780</v>
      </c>
    </row>
    <row r="19" spans="1:12" x14ac:dyDescent="0.3">
      <c r="A19" t="s">
        <v>34</v>
      </c>
      <c r="B19" t="s">
        <v>9</v>
      </c>
      <c r="C19" t="s">
        <v>120</v>
      </c>
      <c r="D19" t="s">
        <v>135</v>
      </c>
      <c r="E19" t="s">
        <v>145</v>
      </c>
      <c r="F19">
        <v>1</v>
      </c>
      <c r="G19">
        <v>10</v>
      </c>
      <c r="H19">
        <v>10</v>
      </c>
      <c r="I19">
        <v>12</v>
      </c>
      <c r="J19">
        <v>13.74</v>
      </c>
      <c r="K19">
        <v>14</v>
      </c>
      <c r="L19">
        <v>5471</v>
      </c>
    </row>
    <row r="20" spans="1:12" x14ac:dyDescent="0.3">
      <c r="A20" t="s">
        <v>25</v>
      </c>
      <c r="B20" t="s">
        <v>43</v>
      </c>
      <c r="C20" t="s">
        <v>120</v>
      </c>
      <c r="D20" t="s">
        <v>98</v>
      </c>
      <c r="E20" t="s">
        <v>145</v>
      </c>
      <c r="F20">
        <v>1</v>
      </c>
      <c r="G20">
        <v>10</v>
      </c>
      <c r="H20" s="4">
        <v>11</v>
      </c>
      <c r="I20" s="4">
        <v>12</v>
      </c>
      <c r="J20" s="4">
        <v>13.96</v>
      </c>
      <c r="K20" s="4">
        <v>14</v>
      </c>
      <c r="L20" s="4">
        <v>7974</v>
      </c>
    </row>
    <row r="21" spans="1:12" x14ac:dyDescent="0.3">
      <c r="A21" t="s">
        <v>25</v>
      </c>
      <c r="B21" t="s">
        <v>43</v>
      </c>
      <c r="C21" t="s">
        <v>120</v>
      </c>
      <c r="D21" t="s">
        <v>101</v>
      </c>
      <c r="E21" t="s">
        <v>145</v>
      </c>
      <c r="F21">
        <v>1</v>
      </c>
      <c r="G21">
        <v>10</v>
      </c>
      <c r="H21" s="4">
        <v>10</v>
      </c>
      <c r="I21" s="4">
        <v>11</v>
      </c>
      <c r="J21" s="4">
        <v>13.99</v>
      </c>
      <c r="K21" s="4">
        <v>13</v>
      </c>
      <c r="L21" s="4">
        <v>6788</v>
      </c>
    </row>
    <row r="22" spans="1:12" x14ac:dyDescent="0.3">
      <c r="A22" t="s">
        <v>25</v>
      </c>
      <c r="B22" t="s">
        <v>43</v>
      </c>
      <c r="C22" t="s">
        <v>120</v>
      </c>
      <c r="D22" t="s">
        <v>102</v>
      </c>
      <c r="E22" t="s">
        <v>145</v>
      </c>
      <c r="F22">
        <v>1</v>
      </c>
      <c r="G22">
        <v>10</v>
      </c>
      <c r="H22" s="4">
        <v>11</v>
      </c>
      <c r="I22" s="4">
        <v>12</v>
      </c>
      <c r="J22" s="4">
        <v>14.1</v>
      </c>
      <c r="K22" s="4">
        <v>15</v>
      </c>
      <c r="L22" s="4">
        <v>8649</v>
      </c>
    </row>
    <row r="23" spans="1:12" x14ac:dyDescent="0.3">
      <c r="A23" t="s">
        <v>25</v>
      </c>
      <c r="B23" t="s">
        <v>43</v>
      </c>
      <c r="C23" t="s">
        <v>120</v>
      </c>
      <c r="D23" t="s">
        <v>103</v>
      </c>
      <c r="E23" t="s">
        <v>145</v>
      </c>
      <c r="F23">
        <v>1</v>
      </c>
      <c r="G23">
        <v>10</v>
      </c>
      <c r="H23" s="4">
        <v>11</v>
      </c>
      <c r="I23" s="4">
        <v>12</v>
      </c>
      <c r="J23" s="4">
        <v>14.32</v>
      </c>
      <c r="K23" s="4">
        <v>15</v>
      </c>
      <c r="L23" s="4">
        <v>10663</v>
      </c>
    </row>
    <row r="24" spans="1:12" x14ac:dyDescent="0.3">
      <c r="A24" t="s">
        <v>34</v>
      </c>
      <c r="B24" t="s">
        <v>43</v>
      </c>
      <c r="C24" t="s">
        <v>120</v>
      </c>
      <c r="D24" t="s">
        <v>104</v>
      </c>
      <c r="E24" t="s">
        <v>145</v>
      </c>
      <c r="F24">
        <v>1</v>
      </c>
      <c r="G24">
        <v>10</v>
      </c>
      <c r="H24" s="4">
        <v>10</v>
      </c>
      <c r="I24" s="4">
        <v>11</v>
      </c>
      <c r="J24" s="4">
        <v>18.18</v>
      </c>
      <c r="K24" s="4">
        <v>13</v>
      </c>
      <c r="L24" s="4">
        <v>7476</v>
      </c>
    </row>
    <row r="25" spans="1:12" x14ac:dyDescent="0.3">
      <c r="A25" t="s">
        <v>34</v>
      </c>
      <c r="B25" t="s">
        <v>43</v>
      </c>
      <c r="C25" t="s">
        <v>120</v>
      </c>
      <c r="D25" t="s">
        <v>105</v>
      </c>
      <c r="E25" t="s">
        <v>145</v>
      </c>
      <c r="F25">
        <v>1</v>
      </c>
      <c r="G25">
        <v>10</v>
      </c>
      <c r="H25" s="4">
        <v>10</v>
      </c>
      <c r="I25" s="4">
        <v>11</v>
      </c>
      <c r="J25" s="4">
        <v>16.899999999999999</v>
      </c>
      <c r="K25" s="4">
        <v>13</v>
      </c>
      <c r="L25" s="4">
        <v>8006</v>
      </c>
    </row>
    <row r="26" spans="1:12" x14ac:dyDescent="0.3">
      <c r="A26" t="s">
        <v>34</v>
      </c>
      <c r="B26" t="s">
        <v>43</v>
      </c>
      <c r="C26" t="s">
        <v>120</v>
      </c>
      <c r="D26" t="s">
        <v>106</v>
      </c>
      <c r="E26" t="s">
        <v>145</v>
      </c>
      <c r="F26">
        <v>1</v>
      </c>
      <c r="G26">
        <v>10</v>
      </c>
      <c r="H26" s="4">
        <v>10</v>
      </c>
      <c r="I26" s="4">
        <v>11</v>
      </c>
      <c r="J26" s="4">
        <v>14.75</v>
      </c>
      <c r="K26" s="4">
        <v>13</v>
      </c>
      <c r="L26" s="4">
        <v>10916</v>
      </c>
    </row>
    <row r="27" spans="1:12" x14ac:dyDescent="0.3">
      <c r="A27" t="s">
        <v>34</v>
      </c>
      <c r="B27" t="s">
        <v>43</v>
      </c>
      <c r="C27" t="s">
        <v>120</v>
      </c>
      <c r="D27" t="s">
        <v>107</v>
      </c>
      <c r="E27" t="s">
        <v>145</v>
      </c>
      <c r="F27">
        <v>1</v>
      </c>
      <c r="G27">
        <v>10</v>
      </c>
      <c r="H27" s="4">
        <v>10</v>
      </c>
      <c r="I27" s="4">
        <v>12</v>
      </c>
      <c r="J27" s="4">
        <v>14.39</v>
      </c>
      <c r="K27" s="4">
        <v>14</v>
      </c>
      <c r="L27" s="4">
        <v>7389</v>
      </c>
    </row>
    <row r="28" spans="1:12" x14ac:dyDescent="0.3">
      <c r="A28" t="s">
        <v>20</v>
      </c>
      <c r="B28" t="s">
        <v>9</v>
      </c>
      <c r="C28" t="s">
        <v>120</v>
      </c>
      <c r="D28" t="s">
        <v>155</v>
      </c>
      <c r="E28" t="s">
        <v>145</v>
      </c>
      <c r="F28">
        <v>2</v>
      </c>
      <c r="G28">
        <v>10</v>
      </c>
      <c r="H28">
        <v>14</v>
      </c>
      <c r="I28">
        <v>21</v>
      </c>
      <c r="J28">
        <v>28.35</v>
      </c>
      <c r="K28">
        <v>35</v>
      </c>
      <c r="L28">
        <v>74494</v>
      </c>
    </row>
    <row r="29" spans="1:12" x14ac:dyDescent="0.3">
      <c r="A29" t="s">
        <v>20</v>
      </c>
      <c r="B29" t="s">
        <v>9</v>
      </c>
      <c r="C29" t="s">
        <v>120</v>
      </c>
      <c r="D29" t="s">
        <v>156</v>
      </c>
      <c r="E29" t="s">
        <v>145</v>
      </c>
      <c r="F29">
        <v>2</v>
      </c>
      <c r="G29">
        <v>10</v>
      </c>
      <c r="H29">
        <v>12</v>
      </c>
      <c r="I29">
        <v>15</v>
      </c>
      <c r="J29">
        <v>18.079999999999998</v>
      </c>
      <c r="K29">
        <v>19</v>
      </c>
      <c r="L29">
        <v>49154</v>
      </c>
    </row>
    <row r="30" spans="1:12" x14ac:dyDescent="0.3">
      <c r="A30" t="s">
        <v>15</v>
      </c>
      <c r="B30" t="s">
        <v>9</v>
      </c>
      <c r="C30" t="s">
        <v>120</v>
      </c>
      <c r="D30" t="s">
        <v>153</v>
      </c>
      <c r="E30" t="s">
        <v>145</v>
      </c>
      <c r="F30">
        <v>2</v>
      </c>
      <c r="G30">
        <v>10</v>
      </c>
      <c r="H30">
        <v>13</v>
      </c>
      <c r="I30">
        <v>18</v>
      </c>
      <c r="J30">
        <v>23.58</v>
      </c>
      <c r="K30">
        <v>29</v>
      </c>
      <c r="L30">
        <v>48283</v>
      </c>
    </row>
    <row r="31" spans="1:12" x14ac:dyDescent="0.3">
      <c r="A31" t="s">
        <v>15</v>
      </c>
      <c r="B31" t="s">
        <v>9</v>
      </c>
      <c r="C31" t="s">
        <v>120</v>
      </c>
      <c r="D31" t="s">
        <v>154</v>
      </c>
      <c r="E31" t="s">
        <v>145</v>
      </c>
      <c r="F31">
        <v>2</v>
      </c>
      <c r="G31">
        <v>10</v>
      </c>
      <c r="H31">
        <v>11</v>
      </c>
      <c r="I31">
        <v>13</v>
      </c>
      <c r="J31">
        <v>15.83</v>
      </c>
      <c r="K31">
        <v>16</v>
      </c>
      <c r="L31">
        <v>41681</v>
      </c>
    </row>
    <row r="32" spans="1:12" x14ac:dyDescent="0.3">
      <c r="A32" t="s">
        <v>10</v>
      </c>
      <c r="B32" t="s">
        <v>9</v>
      </c>
      <c r="C32" t="s">
        <v>120</v>
      </c>
      <c r="D32" t="s">
        <v>152</v>
      </c>
      <c r="E32" t="s">
        <v>145</v>
      </c>
      <c r="F32">
        <v>2</v>
      </c>
      <c r="G32">
        <v>10</v>
      </c>
      <c r="H32">
        <v>13</v>
      </c>
      <c r="I32">
        <v>17</v>
      </c>
      <c r="J32">
        <v>22.23</v>
      </c>
      <c r="K32">
        <v>26</v>
      </c>
      <c r="L32">
        <v>52043</v>
      </c>
    </row>
    <row r="33" spans="1:12" x14ac:dyDescent="0.3">
      <c r="A33" t="s">
        <v>10</v>
      </c>
      <c r="B33" t="s">
        <v>9</v>
      </c>
      <c r="C33" t="s">
        <v>120</v>
      </c>
      <c r="D33" t="s">
        <v>151</v>
      </c>
      <c r="E33" t="s">
        <v>145</v>
      </c>
      <c r="F33">
        <v>2</v>
      </c>
      <c r="G33">
        <v>10</v>
      </c>
      <c r="H33">
        <v>12</v>
      </c>
      <c r="I33">
        <v>15</v>
      </c>
      <c r="J33">
        <v>18.239999999999998</v>
      </c>
      <c r="K33">
        <v>21</v>
      </c>
      <c r="L33">
        <v>13536</v>
      </c>
    </row>
    <row r="34" spans="1:12" x14ac:dyDescent="0.3">
      <c r="A34" t="s">
        <v>10</v>
      </c>
      <c r="B34" t="s">
        <v>43</v>
      </c>
      <c r="C34" t="s">
        <v>120</v>
      </c>
      <c r="D34" t="s">
        <v>157</v>
      </c>
      <c r="E34" t="s">
        <v>145</v>
      </c>
      <c r="F34">
        <v>2</v>
      </c>
      <c r="G34">
        <v>10</v>
      </c>
      <c r="H34">
        <v>11</v>
      </c>
      <c r="I34">
        <v>13</v>
      </c>
      <c r="J34">
        <v>14.8</v>
      </c>
      <c r="K34">
        <v>16</v>
      </c>
      <c r="L34">
        <v>11112</v>
      </c>
    </row>
    <row r="35" spans="1:12" x14ac:dyDescent="0.3">
      <c r="A35" t="s">
        <v>10</v>
      </c>
      <c r="B35" t="s">
        <v>43</v>
      </c>
      <c r="C35" t="s">
        <v>120</v>
      </c>
      <c r="D35" t="s">
        <v>158</v>
      </c>
      <c r="E35" t="s">
        <v>145</v>
      </c>
      <c r="F35">
        <v>2</v>
      </c>
      <c r="G35">
        <v>10</v>
      </c>
      <c r="H35">
        <v>11</v>
      </c>
      <c r="I35">
        <v>12</v>
      </c>
      <c r="J35">
        <v>14.53</v>
      </c>
      <c r="K35">
        <v>15</v>
      </c>
      <c r="L35">
        <v>16143</v>
      </c>
    </row>
    <row r="36" spans="1:12" x14ac:dyDescent="0.3">
      <c r="A36" t="s">
        <v>10</v>
      </c>
      <c r="B36" t="s">
        <v>43</v>
      </c>
      <c r="C36" t="s">
        <v>120</v>
      </c>
      <c r="D36" t="s">
        <v>159</v>
      </c>
      <c r="E36" t="s">
        <v>145</v>
      </c>
      <c r="F36">
        <v>2</v>
      </c>
      <c r="G36">
        <v>10</v>
      </c>
      <c r="H36">
        <v>11</v>
      </c>
      <c r="I36">
        <v>13</v>
      </c>
      <c r="J36">
        <v>16.059999999999999</v>
      </c>
      <c r="K36">
        <v>17</v>
      </c>
      <c r="L36">
        <v>50516</v>
      </c>
    </row>
    <row r="37" spans="1:12" x14ac:dyDescent="0.3">
      <c r="A37" t="s">
        <v>15</v>
      </c>
      <c r="B37" t="s">
        <v>43</v>
      </c>
      <c r="C37" t="s">
        <v>120</v>
      </c>
      <c r="D37" t="s">
        <v>162</v>
      </c>
      <c r="E37" t="s">
        <v>145</v>
      </c>
      <c r="F37">
        <v>2</v>
      </c>
      <c r="G37">
        <v>10</v>
      </c>
      <c r="H37">
        <v>13</v>
      </c>
      <c r="I37">
        <v>18</v>
      </c>
      <c r="J37">
        <v>23.42</v>
      </c>
      <c r="K37">
        <v>29</v>
      </c>
      <c r="L37">
        <v>33756</v>
      </c>
    </row>
    <row r="38" spans="1:12" x14ac:dyDescent="0.3">
      <c r="A38" t="s">
        <v>15</v>
      </c>
      <c r="B38" t="s">
        <v>43</v>
      </c>
      <c r="C38" t="s">
        <v>120</v>
      </c>
      <c r="D38" t="s">
        <v>160</v>
      </c>
      <c r="E38" t="s">
        <v>145</v>
      </c>
      <c r="F38">
        <v>2</v>
      </c>
      <c r="G38">
        <v>10</v>
      </c>
      <c r="H38">
        <v>12</v>
      </c>
      <c r="I38">
        <v>17</v>
      </c>
      <c r="J38">
        <v>20.23</v>
      </c>
      <c r="K38">
        <v>24</v>
      </c>
      <c r="L38">
        <v>34495</v>
      </c>
    </row>
    <row r="39" spans="1:12" x14ac:dyDescent="0.3">
      <c r="A39" t="s">
        <v>15</v>
      </c>
      <c r="B39" t="s">
        <v>43</v>
      </c>
      <c r="C39" t="s">
        <v>120</v>
      </c>
      <c r="D39" t="s">
        <v>161</v>
      </c>
      <c r="E39" t="s">
        <v>145</v>
      </c>
      <c r="F39">
        <v>2</v>
      </c>
      <c r="G39">
        <v>10</v>
      </c>
      <c r="H39">
        <v>12</v>
      </c>
      <c r="I39">
        <v>15</v>
      </c>
      <c r="J39">
        <v>17.98</v>
      </c>
      <c r="K39">
        <v>21</v>
      </c>
      <c r="L39">
        <v>11792</v>
      </c>
    </row>
    <row r="40" spans="1:12" x14ac:dyDescent="0.3">
      <c r="A40" t="s">
        <v>25</v>
      </c>
      <c r="B40" t="s">
        <v>9</v>
      </c>
      <c r="C40" t="s">
        <v>147</v>
      </c>
      <c r="D40" t="s">
        <v>136</v>
      </c>
      <c r="E40" t="s">
        <v>88</v>
      </c>
      <c r="F40">
        <v>1</v>
      </c>
      <c r="G40">
        <v>10</v>
      </c>
      <c r="H40" s="4">
        <v>10</v>
      </c>
      <c r="I40" s="4">
        <v>11</v>
      </c>
      <c r="J40" s="4">
        <v>12.77</v>
      </c>
      <c r="K40" s="4">
        <v>13</v>
      </c>
      <c r="L40" s="4">
        <v>16306</v>
      </c>
    </row>
    <row r="41" spans="1:12" x14ac:dyDescent="0.3">
      <c r="A41" t="s">
        <v>25</v>
      </c>
      <c r="B41" t="s">
        <v>9</v>
      </c>
      <c r="C41" t="s">
        <v>147</v>
      </c>
      <c r="D41" t="s">
        <v>137</v>
      </c>
      <c r="E41" t="s">
        <v>88</v>
      </c>
      <c r="F41">
        <v>1</v>
      </c>
      <c r="G41">
        <v>10</v>
      </c>
      <c r="H41" s="4">
        <v>10</v>
      </c>
      <c r="I41" s="4">
        <v>11</v>
      </c>
      <c r="J41" s="4">
        <v>12.72</v>
      </c>
      <c r="K41" s="4">
        <v>13</v>
      </c>
      <c r="L41" s="4">
        <v>14087</v>
      </c>
    </row>
    <row r="42" spans="1:12" x14ac:dyDescent="0.3">
      <c r="A42" t="s">
        <v>34</v>
      </c>
      <c r="B42" t="s">
        <v>9</v>
      </c>
      <c r="C42" t="s">
        <v>147</v>
      </c>
      <c r="D42" t="s">
        <v>138</v>
      </c>
      <c r="E42" t="s">
        <v>88</v>
      </c>
      <c r="F42">
        <v>1</v>
      </c>
      <c r="G42">
        <v>10</v>
      </c>
      <c r="H42" s="4">
        <v>10</v>
      </c>
      <c r="I42" s="4">
        <v>11</v>
      </c>
      <c r="J42" s="4">
        <v>12.79</v>
      </c>
      <c r="K42" s="4">
        <v>13</v>
      </c>
      <c r="L42" s="4">
        <v>12522</v>
      </c>
    </row>
    <row r="43" spans="1:12" x14ac:dyDescent="0.3">
      <c r="A43" t="s">
        <v>34</v>
      </c>
      <c r="B43" t="s">
        <v>9</v>
      </c>
      <c r="C43" t="s">
        <v>147</v>
      </c>
      <c r="D43" t="s">
        <v>139</v>
      </c>
      <c r="E43" t="s">
        <v>88</v>
      </c>
      <c r="F43">
        <v>1</v>
      </c>
      <c r="G43">
        <v>10</v>
      </c>
      <c r="H43" s="4">
        <v>10</v>
      </c>
      <c r="I43" s="4">
        <v>11</v>
      </c>
      <c r="J43" s="4">
        <v>12.65</v>
      </c>
      <c r="K43" s="4">
        <v>13</v>
      </c>
      <c r="L43" s="4">
        <v>10865</v>
      </c>
    </row>
    <row r="44" spans="1:12" x14ac:dyDescent="0.3">
      <c r="A44" t="s">
        <v>20</v>
      </c>
      <c r="B44" t="s">
        <v>9</v>
      </c>
      <c r="C44" t="s">
        <v>120</v>
      </c>
      <c r="D44" t="s">
        <v>122</v>
      </c>
      <c r="E44" t="s">
        <v>88</v>
      </c>
      <c r="F44">
        <v>1</v>
      </c>
      <c r="G44">
        <v>10</v>
      </c>
      <c r="H44">
        <v>11</v>
      </c>
      <c r="I44">
        <v>13</v>
      </c>
      <c r="J44">
        <v>37.520000000000003</v>
      </c>
      <c r="K44">
        <v>18</v>
      </c>
      <c r="L44">
        <v>11830</v>
      </c>
    </row>
    <row r="45" spans="1:12" x14ac:dyDescent="0.3">
      <c r="A45" t="s">
        <v>20</v>
      </c>
      <c r="B45" t="s">
        <v>9</v>
      </c>
      <c r="C45" t="s">
        <v>120</v>
      </c>
      <c r="D45" t="s">
        <v>123</v>
      </c>
      <c r="E45" t="s">
        <v>88</v>
      </c>
      <c r="F45">
        <v>1</v>
      </c>
      <c r="G45">
        <v>10</v>
      </c>
      <c r="H45">
        <v>10</v>
      </c>
      <c r="I45">
        <v>12</v>
      </c>
      <c r="J45">
        <v>40.04</v>
      </c>
      <c r="K45">
        <v>18</v>
      </c>
      <c r="L45">
        <v>8733</v>
      </c>
    </row>
    <row r="46" spans="1:12" x14ac:dyDescent="0.3">
      <c r="A46" t="s">
        <v>20</v>
      </c>
      <c r="B46" t="s">
        <v>9</v>
      </c>
      <c r="C46" t="s">
        <v>120</v>
      </c>
      <c r="D46" t="s">
        <v>155</v>
      </c>
      <c r="E46" t="s">
        <v>88</v>
      </c>
      <c r="F46">
        <v>2</v>
      </c>
      <c r="G46">
        <v>10</v>
      </c>
      <c r="H46">
        <v>12</v>
      </c>
      <c r="I46">
        <v>17</v>
      </c>
      <c r="J46">
        <v>27.36</v>
      </c>
      <c r="K46">
        <v>26</v>
      </c>
      <c r="L46">
        <v>60631</v>
      </c>
    </row>
    <row r="47" spans="1:12" x14ac:dyDescent="0.3">
      <c r="A47" t="s">
        <v>20</v>
      </c>
      <c r="B47" t="s">
        <v>9</v>
      </c>
      <c r="C47" t="s">
        <v>120</v>
      </c>
      <c r="D47" t="s">
        <v>156</v>
      </c>
      <c r="E47" t="s">
        <v>88</v>
      </c>
      <c r="F47">
        <v>2</v>
      </c>
      <c r="G47">
        <v>10</v>
      </c>
      <c r="H47">
        <v>11</v>
      </c>
      <c r="I47">
        <v>13</v>
      </c>
      <c r="J47">
        <v>27.27</v>
      </c>
      <c r="K47">
        <v>18</v>
      </c>
      <c r="L47">
        <v>27380</v>
      </c>
    </row>
    <row r="48" spans="1:12" x14ac:dyDescent="0.3">
      <c r="A48" t="s">
        <v>15</v>
      </c>
      <c r="B48" t="s">
        <v>9</v>
      </c>
      <c r="C48" t="s">
        <v>120</v>
      </c>
      <c r="D48" t="s">
        <v>124</v>
      </c>
      <c r="E48" t="s">
        <v>88</v>
      </c>
      <c r="F48">
        <v>1</v>
      </c>
      <c r="G48">
        <v>10</v>
      </c>
      <c r="H48">
        <v>10</v>
      </c>
      <c r="I48">
        <v>12</v>
      </c>
      <c r="J48">
        <v>47.94</v>
      </c>
      <c r="K48">
        <v>18</v>
      </c>
      <c r="L48">
        <v>14123</v>
      </c>
    </row>
    <row r="49" spans="1:12" x14ac:dyDescent="0.3">
      <c r="A49" t="s">
        <v>15</v>
      </c>
      <c r="B49" t="s">
        <v>9</v>
      </c>
      <c r="C49" t="s">
        <v>120</v>
      </c>
      <c r="D49" t="s">
        <v>125</v>
      </c>
      <c r="E49" t="s">
        <v>88</v>
      </c>
      <c r="F49">
        <v>1</v>
      </c>
      <c r="G49">
        <v>10</v>
      </c>
      <c r="H49">
        <v>11</v>
      </c>
      <c r="I49">
        <v>12</v>
      </c>
      <c r="J49">
        <v>35.520000000000003</v>
      </c>
      <c r="K49">
        <v>17</v>
      </c>
      <c r="L49">
        <v>8865</v>
      </c>
    </row>
    <row r="50" spans="1:12" x14ac:dyDescent="0.3">
      <c r="A50" t="s">
        <v>15</v>
      </c>
      <c r="B50" t="s">
        <v>9</v>
      </c>
      <c r="C50" t="s">
        <v>120</v>
      </c>
      <c r="D50" t="s">
        <v>153</v>
      </c>
      <c r="E50" t="s">
        <v>88</v>
      </c>
      <c r="F50">
        <v>2</v>
      </c>
      <c r="G50">
        <v>10</v>
      </c>
      <c r="H50">
        <v>12</v>
      </c>
      <c r="I50">
        <v>15</v>
      </c>
      <c r="J50">
        <v>24.34</v>
      </c>
      <c r="K50">
        <v>23</v>
      </c>
      <c r="L50">
        <v>26683</v>
      </c>
    </row>
    <row r="51" spans="1:12" x14ac:dyDescent="0.3">
      <c r="A51" t="s">
        <v>15</v>
      </c>
      <c r="B51" t="s">
        <v>9</v>
      </c>
      <c r="C51" t="s">
        <v>120</v>
      </c>
      <c r="D51" t="s">
        <v>154</v>
      </c>
      <c r="E51" t="s">
        <v>88</v>
      </c>
      <c r="F51">
        <v>2</v>
      </c>
      <c r="G51">
        <v>10</v>
      </c>
      <c r="H51">
        <v>11</v>
      </c>
      <c r="I51">
        <v>13</v>
      </c>
      <c r="J51">
        <v>23.01</v>
      </c>
      <c r="K51">
        <v>16</v>
      </c>
      <c r="L51">
        <v>22320</v>
      </c>
    </row>
    <row r="52" spans="1:12" x14ac:dyDescent="0.3">
      <c r="A52" t="s">
        <v>10</v>
      </c>
      <c r="B52" t="s">
        <v>9</v>
      </c>
      <c r="C52" t="s">
        <v>120</v>
      </c>
      <c r="D52" t="s">
        <v>126</v>
      </c>
      <c r="E52" t="s">
        <v>88</v>
      </c>
      <c r="F52">
        <v>1</v>
      </c>
      <c r="G52">
        <v>10</v>
      </c>
      <c r="H52" s="4">
        <v>11</v>
      </c>
      <c r="I52" s="4">
        <v>12</v>
      </c>
      <c r="J52" s="4">
        <v>19.29</v>
      </c>
      <c r="K52" s="4">
        <v>16</v>
      </c>
      <c r="L52" s="4">
        <v>4600</v>
      </c>
    </row>
    <row r="53" spans="1:12" x14ac:dyDescent="0.3">
      <c r="A53" t="s">
        <v>10</v>
      </c>
      <c r="B53" t="s">
        <v>9</v>
      </c>
      <c r="C53" t="s">
        <v>120</v>
      </c>
      <c r="D53" t="s">
        <v>127</v>
      </c>
      <c r="E53" t="s">
        <v>88</v>
      </c>
      <c r="F53">
        <v>1</v>
      </c>
      <c r="G53">
        <v>10</v>
      </c>
      <c r="H53" s="4">
        <v>10</v>
      </c>
      <c r="I53" s="4">
        <v>12</v>
      </c>
      <c r="J53" s="4">
        <v>19.77</v>
      </c>
      <c r="K53" s="4">
        <v>15</v>
      </c>
      <c r="L53" s="4">
        <v>2893</v>
      </c>
    </row>
    <row r="54" spans="1:12" x14ac:dyDescent="0.3">
      <c r="A54" t="s">
        <v>10</v>
      </c>
      <c r="B54" t="s">
        <v>9</v>
      </c>
      <c r="C54" t="s">
        <v>120</v>
      </c>
      <c r="D54" t="s">
        <v>152</v>
      </c>
      <c r="E54" t="s">
        <v>88</v>
      </c>
      <c r="F54">
        <v>2</v>
      </c>
      <c r="G54">
        <v>10</v>
      </c>
      <c r="H54" s="4">
        <v>12</v>
      </c>
      <c r="I54" s="4">
        <v>15</v>
      </c>
      <c r="J54" s="4">
        <v>25.31</v>
      </c>
      <c r="K54" s="4">
        <v>21</v>
      </c>
      <c r="L54" s="4">
        <v>37018</v>
      </c>
    </row>
    <row r="55" spans="1:12" x14ac:dyDescent="0.3">
      <c r="A55" t="s">
        <v>10</v>
      </c>
      <c r="B55" t="s">
        <v>9</v>
      </c>
      <c r="C55" t="s">
        <v>120</v>
      </c>
      <c r="D55" t="s">
        <v>151</v>
      </c>
      <c r="E55" t="s">
        <v>88</v>
      </c>
      <c r="F55">
        <v>2</v>
      </c>
      <c r="G55">
        <v>10</v>
      </c>
      <c r="H55" s="4">
        <v>11</v>
      </c>
      <c r="I55" s="4">
        <v>13</v>
      </c>
      <c r="J55" s="4">
        <v>22.19</v>
      </c>
      <c r="K55" s="4">
        <v>18</v>
      </c>
      <c r="L55" s="4">
        <v>14430</v>
      </c>
    </row>
    <row r="56" spans="1:12" x14ac:dyDescent="0.3">
      <c r="A56" t="s">
        <v>25</v>
      </c>
      <c r="B56" t="s">
        <v>9</v>
      </c>
      <c r="C56" t="s">
        <v>120</v>
      </c>
      <c r="D56" t="s">
        <v>128</v>
      </c>
      <c r="E56" t="s">
        <v>88</v>
      </c>
      <c r="F56">
        <v>1</v>
      </c>
      <c r="G56">
        <v>10</v>
      </c>
      <c r="H56" s="4">
        <v>10</v>
      </c>
      <c r="I56" s="4">
        <v>12</v>
      </c>
      <c r="J56" s="4">
        <v>29.53</v>
      </c>
      <c r="K56" s="4">
        <v>16</v>
      </c>
      <c r="L56" s="4">
        <v>4174</v>
      </c>
    </row>
    <row r="57" spans="1:12" x14ac:dyDescent="0.3">
      <c r="A57" t="s">
        <v>25</v>
      </c>
      <c r="B57" t="s">
        <v>9</v>
      </c>
      <c r="C57" t="s">
        <v>120</v>
      </c>
      <c r="D57" t="s">
        <v>129</v>
      </c>
      <c r="E57" t="s">
        <v>88</v>
      </c>
      <c r="F57">
        <v>1</v>
      </c>
      <c r="G57">
        <v>10</v>
      </c>
      <c r="H57" s="4">
        <v>10</v>
      </c>
      <c r="I57" s="4">
        <v>12</v>
      </c>
      <c r="J57" s="4">
        <v>24.83</v>
      </c>
      <c r="K57" s="4">
        <v>16</v>
      </c>
      <c r="L57" s="4">
        <v>5166</v>
      </c>
    </row>
    <row r="58" spans="1:12" x14ac:dyDescent="0.3">
      <c r="A58" t="s">
        <v>25</v>
      </c>
      <c r="B58" t="s">
        <v>9</v>
      </c>
      <c r="C58" t="s">
        <v>120</v>
      </c>
      <c r="D58" t="s">
        <v>130</v>
      </c>
      <c r="E58" t="s">
        <v>88</v>
      </c>
      <c r="F58">
        <v>1</v>
      </c>
      <c r="G58">
        <v>10</v>
      </c>
      <c r="H58" s="4">
        <v>10</v>
      </c>
      <c r="I58" s="4">
        <v>12</v>
      </c>
      <c r="J58" s="4">
        <v>29.16</v>
      </c>
      <c r="K58" s="4">
        <v>17</v>
      </c>
      <c r="L58" s="4">
        <v>6586</v>
      </c>
    </row>
    <row r="59" spans="1:12" x14ac:dyDescent="0.3">
      <c r="A59" t="s">
        <v>25</v>
      </c>
      <c r="B59" t="s">
        <v>9</v>
      </c>
      <c r="C59" t="s">
        <v>120</v>
      </c>
      <c r="D59" t="s">
        <v>131</v>
      </c>
      <c r="E59" t="s">
        <v>88</v>
      </c>
      <c r="F59">
        <v>1</v>
      </c>
      <c r="G59">
        <v>10</v>
      </c>
      <c r="H59" s="4">
        <v>10</v>
      </c>
      <c r="I59" s="4">
        <v>12</v>
      </c>
      <c r="J59" s="4">
        <v>28.41</v>
      </c>
      <c r="K59" s="4">
        <v>17</v>
      </c>
      <c r="L59" s="4">
        <v>6347</v>
      </c>
    </row>
    <row r="60" spans="1:12" x14ac:dyDescent="0.3">
      <c r="A60" t="s">
        <v>34</v>
      </c>
      <c r="B60" t="s">
        <v>9</v>
      </c>
      <c r="C60" t="s">
        <v>120</v>
      </c>
      <c r="D60" t="s">
        <v>132</v>
      </c>
      <c r="E60" t="s">
        <v>88</v>
      </c>
      <c r="F60">
        <v>1</v>
      </c>
      <c r="G60">
        <v>10</v>
      </c>
      <c r="H60" s="4">
        <v>10</v>
      </c>
      <c r="I60" s="4">
        <v>12</v>
      </c>
      <c r="J60" s="4">
        <v>44.7</v>
      </c>
      <c r="K60" s="4">
        <v>17</v>
      </c>
      <c r="L60" s="4">
        <v>18399</v>
      </c>
    </row>
    <row r="61" spans="1:12" x14ac:dyDescent="0.3">
      <c r="A61" t="s">
        <v>34</v>
      </c>
      <c r="B61" t="s">
        <v>9</v>
      </c>
      <c r="C61" t="s">
        <v>120</v>
      </c>
      <c r="D61" t="s">
        <v>133</v>
      </c>
      <c r="E61" t="s">
        <v>88</v>
      </c>
      <c r="F61">
        <v>1</v>
      </c>
      <c r="G61">
        <v>10</v>
      </c>
      <c r="H61" s="4">
        <v>10</v>
      </c>
      <c r="I61" s="4">
        <v>12</v>
      </c>
      <c r="J61" s="4">
        <v>34.159999999999997</v>
      </c>
      <c r="K61" s="4">
        <v>20</v>
      </c>
      <c r="L61" s="4">
        <v>6786</v>
      </c>
    </row>
    <row r="62" spans="1:12" x14ac:dyDescent="0.3">
      <c r="A62" t="s">
        <v>34</v>
      </c>
      <c r="B62" t="s">
        <v>9</v>
      </c>
      <c r="C62" t="s">
        <v>120</v>
      </c>
      <c r="D62" t="s">
        <v>134</v>
      </c>
      <c r="E62" t="s">
        <v>88</v>
      </c>
      <c r="F62">
        <v>1</v>
      </c>
      <c r="G62">
        <v>10</v>
      </c>
      <c r="H62" s="4">
        <v>11</v>
      </c>
      <c r="I62" s="4">
        <v>12</v>
      </c>
      <c r="J62" s="4">
        <v>26.59</v>
      </c>
      <c r="K62" s="4">
        <v>16</v>
      </c>
      <c r="L62" s="4">
        <v>6034</v>
      </c>
    </row>
    <row r="63" spans="1:12" x14ac:dyDescent="0.3">
      <c r="A63" t="s">
        <v>34</v>
      </c>
      <c r="B63" t="s">
        <v>9</v>
      </c>
      <c r="C63" t="s">
        <v>120</v>
      </c>
      <c r="D63" t="s">
        <v>135</v>
      </c>
      <c r="E63" t="s">
        <v>88</v>
      </c>
      <c r="F63">
        <v>1</v>
      </c>
      <c r="G63">
        <v>10</v>
      </c>
      <c r="H63" s="4">
        <v>10</v>
      </c>
      <c r="I63" s="4">
        <v>12</v>
      </c>
      <c r="J63" s="4">
        <v>26.4</v>
      </c>
      <c r="K63" s="4">
        <v>16</v>
      </c>
      <c r="L63" s="4">
        <v>3880</v>
      </c>
    </row>
    <row r="64" spans="1:12" x14ac:dyDescent="0.3">
      <c r="A64" t="s">
        <v>10</v>
      </c>
      <c r="B64" t="s">
        <v>43</v>
      </c>
      <c r="C64" t="s">
        <v>120</v>
      </c>
      <c r="D64" t="s">
        <v>157</v>
      </c>
      <c r="E64" t="s">
        <v>88</v>
      </c>
      <c r="F64">
        <v>2</v>
      </c>
      <c r="G64">
        <v>10</v>
      </c>
      <c r="H64">
        <v>11</v>
      </c>
      <c r="I64">
        <v>12</v>
      </c>
      <c r="J64">
        <v>17.420000000000002</v>
      </c>
      <c r="K64">
        <v>15</v>
      </c>
      <c r="L64">
        <v>5020</v>
      </c>
    </row>
    <row r="65" spans="1:12" x14ac:dyDescent="0.3">
      <c r="A65" t="s">
        <v>10</v>
      </c>
      <c r="B65" t="s">
        <v>43</v>
      </c>
      <c r="C65" t="s">
        <v>120</v>
      </c>
      <c r="D65" t="s">
        <v>158</v>
      </c>
      <c r="E65" t="s">
        <v>88</v>
      </c>
      <c r="F65">
        <v>2</v>
      </c>
      <c r="G65">
        <v>10</v>
      </c>
      <c r="H65">
        <v>11</v>
      </c>
      <c r="I65">
        <v>12</v>
      </c>
      <c r="J65">
        <v>19.98</v>
      </c>
      <c r="K65">
        <v>15</v>
      </c>
      <c r="L65">
        <v>6217</v>
      </c>
    </row>
    <row r="66" spans="1:12" x14ac:dyDescent="0.3">
      <c r="A66" t="s">
        <v>10</v>
      </c>
      <c r="B66" t="s">
        <v>43</v>
      </c>
      <c r="C66" t="s">
        <v>120</v>
      </c>
      <c r="D66" t="s">
        <v>159</v>
      </c>
      <c r="E66" t="s">
        <v>88</v>
      </c>
      <c r="F66">
        <v>2</v>
      </c>
      <c r="G66">
        <v>10</v>
      </c>
      <c r="H66">
        <v>11</v>
      </c>
      <c r="I66">
        <v>13</v>
      </c>
      <c r="J66">
        <v>23.23</v>
      </c>
      <c r="K66">
        <v>16</v>
      </c>
      <c r="L66">
        <v>17113</v>
      </c>
    </row>
    <row r="67" spans="1:12" x14ac:dyDescent="0.3">
      <c r="A67" t="s">
        <v>15</v>
      </c>
      <c r="B67" t="s">
        <v>43</v>
      </c>
      <c r="C67" t="s">
        <v>120</v>
      </c>
      <c r="D67" t="s">
        <v>162</v>
      </c>
      <c r="E67" t="s">
        <v>88</v>
      </c>
      <c r="F67">
        <v>2</v>
      </c>
      <c r="G67">
        <v>10</v>
      </c>
      <c r="H67">
        <v>12</v>
      </c>
      <c r="I67">
        <v>15</v>
      </c>
      <c r="J67">
        <v>22.26</v>
      </c>
      <c r="K67">
        <v>21</v>
      </c>
      <c r="L67">
        <v>18783</v>
      </c>
    </row>
    <row r="68" spans="1:12" x14ac:dyDescent="0.3">
      <c r="A68" t="s">
        <v>15</v>
      </c>
      <c r="B68" t="s">
        <v>43</v>
      </c>
      <c r="C68" t="s">
        <v>120</v>
      </c>
      <c r="D68" t="s">
        <v>160</v>
      </c>
      <c r="E68" t="s">
        <v>88</v>
      </c>
      <c r="F68">
        <v>2</v>
      </c>
      <c r="G68">
        <v>10</v>
      </c>
      <c r="H68">
        <v>11</v>
      </c>
      <c r="I68">
        <v>14</v>
      </c>
      <c r="J68">
        <v>20.329999999999998</v>
      </c>
      <c r="K68">
        <v>20</v>
      </c>
      <c r="L68">
        <v>14690</v>
      </c>
    </row>
    <row r="69" spans="1:12" x14ac:dyDescent="0.3">
      <c r="A69" t="s">
        <v>15</v>
      </c>
      <c r="B69" t="s">
        <v>43</v>
      </c>
      <c r="C69" t="s">
        <v>120</v>
      </c>
      <c r="D69" t="s">
        <v>161</v>
      </c>
      <c r="E69" t="s">
        <v>88</v>
      </c>
      <c r="F69">
        <v>2</v>
      </c>
      <c r="G69">
        <v>10</v>
      </c>
      <c r="H69">
        <v>11</v>
      </c>
      <c r="I69">
        <v>14</v>
      </c>
      <c r="J69">
        <v>20.37</v>
      </c>
      <c r="K69">
        <v>18</v>
      </c>
      <c r="L69">
        <v>10829</v>
      </c>
    </row>
    <row r="70" spans="1:12" x14ac:dyDescent="0.3">
      <c r="A70" t="s">
        <v>25</v>
      </c>
      <c r="B70" t="s">
        <v>43</v>
      </c>
      <c r="C70" t="s">
        <v>120</v>
      </c>
      <c r="D70" t="s">
        <v>98</v>
      </c>
      <c r="E70" t="s">
        <v>88</v>
      </c>
      <c r="F70">
        <v>1</v>
      </c>
      <c r="G70">
        <v>10</v>
      </c>
      <c r="H70">
        <v>11</v>
      </c>
      <c r="I70">
        <v>12</v>
      </c>
      <c r="J70">
        <v>28.85</v>
      </c>
      <c r="K70">
        <v>17</v>
      </c>
      <c r="L70">
        <v>5876</v>
      </c>
    </row>
    <row r="71" spans="1:12" x14ac:dyDescent="0.3">
      <c r="A71" t="s">
        <v>25</v>
      </c>
      <c r="B71" t="s">
        <v>43</v>
      </c>
      <c r="C71" t="s">
        <v>120</v>
      </c>
      <c r="D71" t="s">
        <v>101</v>
      </c>
      <c r="E71" t="s">
        <v>88</v>
      </c>
      <c r="F71">
        <v>1</v>
      </c>
      <c r="G71">
        <v>10</v>
      </c>
      <c r="H71">
        <v>10</v>
      </c>
      <c r="I71">
        <v>12</v>
      </c>
      <c r="J71">
        <v>30.31</v>
      </c>
      <c r="K71">
        <v>20</v>
      </c>
      <c r="L71">
        <v>3674</v>
      </c>
    </row>
    <row r="72" spans="1:12" x14ac:dyDescent="0.3">
      <c r="A72" t="s">
        <v>25</v>
      </c>
      <c r="B72" t="s">
        <v>43</v>
      </c>
      <c r="C72" t="s">
        <v>120</v>
      </c>
      <c r="D72" t="s">
        <v>102</v>
      </c>
      <c r="E72" t="s">
        <v>88</v>
      </c>
      <c r="F72">
        <v>1</v>
      </c>
      <c r="G72">
        <v>10</v>
      </c>
      <c r="H72">
        <v>10</v>
      </c>
      <c r="I72">
        <v>12</v>
      </c>
      <c r="J72">
        <v>21.67</v>
      </c>
      <c r="K72">
        <v>15</v>
      </c>
      <c r="L72">
        <v>7657</v>
      </c>
    </row>
    <row r="73" spans="1:12" x14ac:dyDescent="0.3">
      <c r="A73" t="s">
        <v>25</v>
      </c>
      <c r="B73" t="s">
        <v>43</v>
      </c>
      <c r="C73" t="s">
        <v>120</v>
      </c>
      <c r="D73" t="s">
        <v>103</v>
      </c>
      <c r="E73" t="s">
        <v>88</v>
      </c>
      <c r="F73">
        <v>1</v>
      </c>
      <c r="G73">
        <v>10</v>
      </c>
      <c r="H73">
        <v>11</v>
      </c>
      <c r="I73">
        <v>12</v>
      </c>
      <c r="J73">
        <v>31.35</v>
      </c>
      <c r="K73">
        <v>18</v>
      </c>
      <c r="L73">
        <v>6676</v>
      </c>
    </row>
    <row r="74" spans="1:12" x14ac:dyDescent="0.3">
      <c r="A74" t="s">
        <v>34</v>
      </c>
      <c r="B74" t="s">
        <v>43</v>
      </c>
      <c r="C74" t="s">
        <v>120</v>
      </c>
      <c r="D74" t="s">
        <v>104</v>
      </c>
      <c r="E74" t="s">
        <v>88</v>
      </c>
      <c r="F74">
        <v>1</v>
      </c>
      <c r="G74">
        <v>10</v>
      </c>
      <c r="H74">
        <v>11</v>
      </c>
      <c r="I74">
        <v>14</v>
      </c>
      <c r="J74">
        <v>58.01</v>
      </c>
      <c r="K74">
        <v>37</v>
      </c>
      <c r="L74">
        <v>12184</v>
      </c>
    </row>
    <row r="75" spans="1:12" x14ac:dyDescent="0.3">
      <c r="A75" t="s">
        <v>34</v>
      </c>
      <c r="B75" t="s">
        <v>43</v>
      </c>
      <c r="C75" t="s">
        <v>120</v>
      </c>
      <c r="D75" t="s">
        <v>105</v>
      </c>
      <c r="E75" t="s">
        <v>88</v>
      </c>
      <c r="F75">
        <v>1</v>
      </c>
      <c r="G75">
        <v>10</v>
      </c>
      <c r="H75">
        <v>10</v>
      </c>
      <c r="I75">
        <v>13</v>
      </c>
      <c r="J75">
        <v>41.88</v>
      </c>
      <c r="K75">
        <v>23</v>
      </c>
      <c r="L75">
        <v>9541</v>
      </c>
    </row>
    <row r="76" spans="1:12" x14ac:dyDescent="0.3">
      <c r="A76" t="s">
        <v>34</v>
      </c>
      <c r="B76" t="s">
        <v>43</v>
      </c>
      <c r="C76" t="s">
        <v>120</v>
      </c>
      <c r="D76" t="s">
        <v>106</v>
      </c>
      <c r="E76" t="s">
        <v>88</v>
      </c>
      <c r="F76">
        <v>1</v>
      </c>
      <c r="G76">
        <v>10</v>
      </c>
      <c r="H76">
        <v>10</v>
      </c>
      <c r="I76">
        <v>12</v>
      </c>
      <c r="J76">
        <v>38.409999999999997</v>
      </c>
      <c r="K76">
        <v>21</v>
      </c>
      <c r="L76">
        <v>7940</v>
      </c>
    </row>
    <row r="77" spans="1:12" x14ac:dyDescent="0.3">
      <c r="A77" t="s">
        <v>34</v>
      </c>
      <c r="B77" t="s">
        <v>43</v>
      </c>
      <c r="C77" t="s">
        <v>120</v>
      </c>
      <c r="D77" t="s">
        <v>107</v>
      </c>
      <c r="E77" t="s">
        <v>88</v>
      </c>
      <c r="F77">
        <v>1</v>
      </c>
      <c r="G77">
        <v>10</v>
      </c>
      <c r="H77">
        <v>11</v>
      </c>
      <c r="I77">
        <v>13</v>
      </c>
      <c r="J77">
        <v>35.880000000000003</v>
      </c>
      <c r="K77">
        <v>20</v>
      </c>
      <c r="L77">
        <v>7216</v>
      </c>
    </row>
    <row r="78" spans="1:12" x14ac:dyDescent="0.3">
      <c r="A78" t="s">
        <v>25</v>
      </c>
      <c r="B78" t="s">
        <v>9</v>
      </c>
      <c r="C78" t="s">
        <v>147</v>
      </c>
      <c r="D78" t="s">
        <v>136</v>
      </c>
      <c r="E78" t="s">
        <v>142</v>
      </c>
      <c r="F78">
        <v>1</v>
      </c>
      <c r="G78">
        <v>10</v>
      </c>
      <c r="H78" s="4">
        <v>10</v>
      </c>
      <c r="I78" s="4">
        <v>11</v>
      </c>
      <c r="J78" s="4">
        <v>13.01</v>
      </c>
      <c r="K78" s="4">
        <v>12</v>
      </c>
      <c r="L78" s="4">
        <v>3665</v>
      </c>
    </row>
    <row r="79" spans="1:12" x14ac:dyDescent="0.3">
      <c r="A79" t="s">
        <v>25</v>
      </c>
      <c r="B79" t="s">
        <v>9</v>
      </c>
      <c r="C79" t="s">
        <v>147</v>
      </c>
      <c r="D79" t="s">
        <v>137</v>
      </c>
      <c r="E79" t="s">
        <v>142</v>
      </c>
      <c r="F79">
        <v>1</v>
      </c>
      <c r="G79">
        <v>10</v>
      </c>
      <c r="H79" s="4">
        <v>10</v>
      </c>
      <c r="I79" s="4">
        <v>11</v>
      </c>
      <c r="J79" s="4">
        <v>12.71</v>
      </c>
      <c r="K79" s="4">
        <v>12</v>
      </c>
      <c r="L79" s="4">
        <v>4433</v>
      </c>
    </row>
    <row r="80" spans="1:12" x14ac:dyDescent="0.3">
      <c r="A80" t="s">
        <v>34</v>
      </c>
      <c r="B80" t="s">
        <v>9</v>
      </c>
      <c r="C80" t="s">
        <v>147</v>
      </c>
      <c r="D80" t="s">
        <v>138</v>
      </c>
      <c r="E80" t="s">
        <v>142</v>
      </c>
      <c r="F80">
        <v>1</v>
      </c>
      <c r="G80">
        <v>10</v>
      </c>
      <c r="H80" s="4">
        <v>10</v>
      </c>
      <c r="I80" s="4">
        <v>11</v>
      </c>
      <c r="J80" s="4">
        <v>12.88</v>
      </c>
      <c r="K80" s="4">
        <v>12</v>
      </c>
      <c r="L80" s="4">
        <v>3073</v>
      </c>
    </row>
    <row r="81" spans="1:12" x14ac:dyDescent="0.3">
      <c r="A81" t="s">
        <v>34</v>
      </c>
      <c r="B81" t="s">
        <v>9</v>
      </c>
      <c r="C81" t="s">
        <v>147</v>
      </c>
      <c r="D81" t="s">
        <v>139</v>
      </c>
      <c r="E81" t="s">
        <v>142</v>
      </c>
      <c r="F81">
        <v>1</v>
      </c>
      <c r="G81">
        <v>10</v>
      </c>
      <c r="H81" s="4">
        <v>10</v>
      </c>
      <c r="I81" s="4">
        <v>11</v>
      </c>
      <c r="J81" s="4">
        <v>12.82</v>
      </c>
      <c r="K81" s="4">
        <v>12</v>
      </c>
      <c r="L81" s="4">
        <v>3014</v>
      </c>
    </row>
    <row r="82" spans="1:12" x14ac:dyDescent="0.3">
      <c r="A82" t="s">
        <v>20</v>
      </c>
      <c r="B82" t="s">
        <v>9</v>
      </c>
      <c r="C82" t="s">
        <v>120</v>
      </c>
      <c r="D82" t="s">
        <v>122</v>
      </c>
      <c r="E82" t="s">
        <v>142</v>
      </c>
      <c r="F82">
        <v>1</v>
      </c>
      <c r="G82">
        <v>10</v>
      </c>
      <c r="H82" s="4">
        <v>11</v>
      </c>
      <c r="I82" s="4">
        <v>12</v>
      </c>
      <c r="J82" s="4">
        <v>14.59</v>
      </c>
      <c r="K82" s="4">
        <v>15</v>
      </c>
      <c r="L82" s="4">
        <v>12568</v>
      </c>
    </row>
    <row r="83" spans="1:12" x14ac:dyDescent="0.3">
      <c r="A83" t="s">
        <v>20</v>
      </c>
      <c r="B83" t="s">
        <v>9</v>
      </c>
      <c r="C83" t="s">
        <v>120</v>
      </c>
      <c r="D83" t="s">
        <v>123</v>
      </c>
      <c r="E83" t="s">
        <v>142</v>
      </c>
      <c r="F83">
        <v>1</v>
      </c>
      <c r="G83">
        <v>10</v>
      </c>
      <c r="H83" s="4">
        <v>10</v>
      </c>
      <c r="I83" s="4">
        <v>12</v>
      </c>
      <c r="J83" s="4">
        <v>14.04</v>
      </c>
      <c r="K83" s="4">
        <v>14</v>
      </c>
      <c r="L83" s="4">
        <v>11098</v>
      </c>
    </row>
    <row r="84" spans="1:12" x14ac:dyDescent="0.3">
      <c r="A84" t="s">
        <v>20</v>
      </c>
      <c r="B84" t="s">
        <v>9</v>
      </c>
      <c r="C84" t="s">
        <v>120</v>
      </c>
      <c r="D84" t="s">
        <v>155</v>
      </c>
      <c r="E84" t="s">
        <v>142</v>
      </c>
      <c r="F84">
        <v>2</v>
      </c>
      <c r="G84">
        <v>10</v>
      </c>
      <c r="H84" s="4">
        <v>14</v>
      </c>
      <c r="I84" s="4">
        <v>21</v>
      </c>
      <c r="J84" s="4">
        <v>27.86</v>
      </c>
      <c r="K84" s="4">
        <v>35</v>
      </c>
      <c r="L84" s="4">
        <v>74275</v>
      </c>
    </row>
    <row r="85" spans="1:12" x14ac:dyDescent="0.3">
      <c r="A85" t="s">
        <v>20</v>
      </c>
      <c r="B85" t="s">
        <v>9</v>
      </c>
      <c r="C85" t="s">
        <v>120</v>
      </c>
      <c r="D85" t="s">
        <v>156</v>
      </c>
      <c r="E85" t="s">
        <v>142</v>
      </c>
      <c r="F85">
        <v>2</v>
      </c>
      <c r="G85">
        <v>10</v>
      </c>
      <c r="H85" s="4">
        <v>12</v>
      </c>
      <c r="I85" s="4">
        <v>14</v>
      </c>
      <c r="J85" s="4">
        <v>17.5</v>
      </c>
      <c r="K85" s="4">
        <v>19</v>
      </c>
      <c r="L85" s="4">
        <v>49093</v>
      </c>
    </row>
    <row r="86" spans="1:12" x14ac:dyDescent="0.3">
      <c r="A86" t="s">
        <v>15</v>
      </c>
      <c r="B86" t="s">
        <v>9</v>
      </c>
      <c r="C86" t="s">
        <v>120</v>
      </c>
      <c r="D86" t="s">
        <v>124</v>
      </c>
      <c r="E86" t="s">
        <v>142</v>
      </c>
      <c r="F86">
        <v>1</v>
      </c>
      <c r="G86">
        <v>10</v>
      </c>
      <c r="H86" s="4">
        <v>10</v>
      </c>
      <c r="I86" s="4">
        <v>11</v>
      </c>
      <c r="J86" s="4">
        <v>14.81</v>
      </c>
      <c r="K86" s="4">
        <v>13</v>
      </c>
      <c r="L86" s="4">
        <v>27619</v>
      </c>
    </row>
    <row r="87" spans="1:12" x14ac:dyDescent="0.3">
      <c r="A87" t="s">
        <v>15</v>
      </c>
      <c r="B87" t="s">
        <v>9</v>
      </c>
      <c r="C87" t="s">
        <v>120</v>
      </c>
      <c r="D87" t="s">
        <v>125</v>
      </c>
      <c r="E87" t="s">
        <v>142</v>
      </c>
      <c r="F87">
        <v>1</v>
      </c>
      <c r="G87">
        <v>10</v>
      </c>
      <c r="H87" s="4">
        <v>11</v>
      </c>
      <c r="I87" s="4">
        <v>12</v>
      </c>
      <c r="J87" s="4">
        <v>14.09</v>
      </c>
      <c r="K87" s="4">
        <v>14</v>
      </c>
      <c r="L87" s="4">
        <v>9204</v>
      </c>
    </row>
    <row r="88" spans="1:12" x14ac:dyDescent="0.3">
      <c r="A88" t="s">
        <v>15</v>
      </c>
      <c r="B88" t="s">
        <v>9</v>
      </c>
      <c r="C88" t="s">
        <v>120</v>
      </c>
      <c r="D88" t="s">
        <v>153</v>
      </c>
      <c r="E88" t="s">
        <v>142</v>
      </c>
      <c r="F88">
        <v>2</v>
      </c>
      <c r="G88">
        <v>10</v>
      </c>
      <c r="H88" s="4">
        <v>13</v>
      </c>
      <c r="I88" s="4">
        <v>18</v>
      </c>
      <c r="J88" s="4">
        <v>23.35</v>
      </c>
      <c r="K88" s="4">
        <v>29</v>
      </c>
      <c r="L88" s="4">
        <v>48206</v>
      </c>
    </row>
    <row r="89" spans="1:12" x14ac:dyDescent="0.3">
      <c r="A89" t="s">
        <v>15</v>
      </c>
      <c r="B89" t="s">
        <v>9</v>
      </c>
      <c r="C89" t="s">
        <v>120</v>
      </c>
      <c r="D89" t="s">
        <v>154</v>
      </c>
      <c r="E89" t="s">
        <v>142</v>
      </c>
      <c r="F89">
        <v>2</v>
      </c>
      <c r="G89">
        <v>10</v>
      </c>
      <c r="H89" s="4">
        <v>11</v>
      </c>
      <c r="I89" s="4">
        <v>13</v>
      </c>
      <c r="J89" s="4">
        <v>15.08</v>
      </c>
      <c r="K89" s="4">
        <v>16</v>
      </c>
      <c r="L89" s="4">
        <v>41588</v>
      </c>
    </row>
    <row r="90" spans="1:12" x14ac:dyDescent="0.3">
      <c r="A90" t="s">
        <v>10</v>
      </c>
      <c r="B90" t="s">
        <v>9</v>
      </c>
      <c r="C90" t="s">
        <v>120</v>
      </c>
      <c r="D90" t="s">
        <v>126</v>
      </c>
      <c r="E90" t="s">
        <v>142</v>
      </c>
      <c r="F90">
        <v>1</v>
      </c>
      <c r="G90">
        <v>10</v>
      </c>
      <c r="H90" s="4">
        <v>11</v>
      </c>
      <c r="I90" s="4">
        <v>13</v>
      </c>
      <c r="J90" s="4">
        <v>14.85</v>
      </c>
      <c r="K90" s="4">
        <v>17</v>
      </c>
      <c r="L90" s="4">
        <v>4711</v>
      </c>
    </row>
    <row r="91" spans="1:12" x14ac:dyDescent="0.3">
      <c r="A91" t="s">
        <v>10</v>
      </c>
      <c r="B91" t="s">
        <v>9</v>
      </c>
      <c r="C91" t="s">
        <v>120</v>
      </c>
      <c r="D91" t="s">
        <v>127</v>
      </c>
      <c r="E91" t="s">
        <v>142</v>
      </c>
      <c r="F91">
        <v>1</v>
      </c>
      <c r="G91">
        <v>10</v>
      </c>
      <c r="H91" s="4">
        <v>11</v>
      </c>
      <c r="I91" s="4">
        <v>12</v>
      </c>
      <c r="J91" s="4">
        <v>13.57</v>
      </c>
      <c r="K91" s="4">
        <v>15</v>
      </c>
      <c r="L91" s="4">
        <v>2363</v>
      </c>
    </row>
    <row r="92" spans="1:12" x14ac:dyDescent="0.3">
      <c r="A92" t="s">
        <v>10</v>
      </c>
      <c r="B92" t="s">
        <v>9</v>
      </c>
      <c r="C92" t="s">
        <v>120</v>
      </c>
      <c r="D92" t="s">
        <v>152</v>
      </c>
      <c r="E92" t="s">
        <v>142</v>
      </c>
      <c r="F92">
        <v>2</v>
      </c>
      <c r="G92">
        <v>10</v>
      </c>
      <c r="H92" s="4">
        <v>13</v>
      </c>
      <c r="I92" s="4">
        <v>17</v>
      </c>
      <c r="J92" s="4">
        <v>21.77</v>
      </c>
      <c r="K92" s="4">
        <v>26</v>
      </c>
      <c r="L92" s="4">
        <v>51903</v>
      </c>
    </row>
    <row r="93" spans="1:12" x14ac:dyDescent="0.3">
      <c r="A93" t="s">
        <v>10</v>
      </c>
      <c r="B93" t="s">
        <v>9</v>
      </c>
      <c r="C93" t="s">
        <v>120</v>
      </c>
      <c r="D93" t="s">
        <v>151</v>
      </c>
      <c r="E93" t="s">
        <v>142</v>
      </c>
      <c r="F93">
        <v>2</v>
      </c>
      <c r="G93">
        <v>10</v>
      </c>
      <c r="H93" s="4">
        <v>12</v>
      </c>
      <c r="I93" s="4">
        <v>15</v>
      </c>
      <c r="J93" s="4">
        <v>17.940000000000001</v>
      </c>
      <c r="K93" s="4">
        <v>21</v>
      </c>
      <c r="L93" s="4">
        <v>13533</v>
      </c>
    </row>
    <row r="94" spans="1:12" x14ac:dyDescent="0.3">
      <c r="A94" t="s">
        <v>25</v>
      </c>
      <c r="B94" t="s">
        <v>9</v>
      </c>
      <c r="C94" t="s">
        <v>120</v>
      </c>
      <c r="D94" t="s">
        <v>128</v>
      </c>
      <c r="E94" t="s">
        <v>142</v>
      </c>
      <c r="F94">
        <v>1</v>
      </c>
      <c r="G94">
        <v>10</v>
      </c>
      <c r="H94" s="4">
        <v>10</v>
      </c>
      <c r="I94" s="4">
        <v>12</v>
      </c>
      <c r="J94" s="4">
        <v>13.34</v>
      </c>
      <c r="K94" s="4">
        <v>14</v>
      </c>
      <c r="L94" s="4">
        <v>7034</v>
      </c>
    </row>
    <row r="95" spans="1:12" x14ac:dyDescent="0.3">
      <c r="A95" t="s">
        <v>25</v>
      </c>
      <c r="B95" t="s">
        <v>9</v>
      </c>
      <c r="C95" t="s">
        <v>120</v>
      </c>
      <c r="D95" t="s">
        <v>129</v>
      </c>
      <c r="E95" t="s">
        <v>142</v>
      </c>
      <c r="F95">
        <v>1</v>
      </c>
      <c r="G95">
        <v>10</v>
      </c>
      <c r="H95" s="4">
        <v>10</v>
      </c>
      <c r="I95" s="4">
        <v>12</v>
      </c>
      <c r="J95" s="4">
        <v>13.44</v>
      </c>
      <c r="K95" s="4">
        <v>14</v>
      </c>
      <c r="L95" s="4">
        <v>5847</v>
      </c>
    </row>
    <row r="96" spans="1:12" x14ac:dyDescent="0.3">
      <c r="A96" t="s">
        <v>25</v>
      </c>
      <c r="B96" t="s">
        <v>9</v>
      </c>
      <c r="C96" t="s">
        <v>120</v>
      </c>
      <c r="D96" t="s">
        <v>130</v>
      </c>
      <c r="E96" t="s">
        <v>142</v>
      </c>
      <c r="F96">
        <v>1</v>
      </c>
      <c r="G96">
        <v>10</v>
      </c>
      <c r="H96" s="4">
        <v>11</v>
      </c>
      <c r="I96" s="4">
        <v>12</v>
      </c>
      <c r="J96" s="4">
        <v>13.52</v>
      </c>
      <c r="K96" s="4">
        <v>14</v>
      </c>
      <c r="L96" s="4">
        <v>9156</v>
      </c>
    </row>
    <row r="97" spans="1:12" x14ac:dyDescent="0.3">
      <c r="A97" t="s">
        <v>25</v>
      </c>
      <c r="B97" t="s">
        <v>9</v>
      </c>
      <c r="C97" t="s">
        <v>120</v>
      </c>
      <c r="D97" t="s">
        <v>131</v>
      </c>
      <c r="E97" t="s">
        <v>142</v>
      </c>
      <c r="F97">
        <v>1</v>
      </c>
      <c r="G97">
        <v>10</v>
      </c>
      <c r="H97" s="4">
        <v>10</v>
      </c>
      <c r="I97" s="4">
        <v>12</v>
      </c>
      <c r="J97" s="4">
        <v>13.47</v>
      </c>
      <c r="K97" s="4">
        <v>14</v>
      </c>
      <c r="L97" s="4">
        <v>9998</v>
      </c>
    </row>
    <row r="98" spans="1:12" x14ac:dyDescent="0.3">
      <c r="A98" t="s">
        <v>34</v>
      </c>
      <c r="B98" t="s">
        <v>9</v>
      </c>
      <c r="C98" t="s">
        <v>120</v>
      </c>
      <c r="D98" t="s">
        <v>132</v>
      </c>
      <c r="E98" t="s">
        <v>142</v>
      </c>
      <c r="F98">
        <v>1</v>
      </c>
      <c r="G98">
        <v>10</v>
      </c>
      <c r="H98" s="4">
        <v>10</v>
      </c>
      <c r="I98" s="4">
        <v>11</v>
      </c>
      <c r="J98" s="4">
        <v>14.47</v>
      </c>
      <c r="K98" s="4">
        <v>13</v>
      </c>
      <c r="L98" s="4">
        <v>15197</v>
      </c>
    </row>
    <row r="99" spans="1:12" x14ac:dyDescent="0.3">
      <c r="A99" t="s">
        <v>34</v>
      </c>
      <c r="B99" t="s">
        <v>9</v>
      </c>
      <c r="C99" t="s">
        <v>120</v>
      </c>
      <c r="D99" t="s">
        <v>133</v>
      </c>
      <c r="E99" t="s">
        <v>142</v>
      </c>
      <c r="F99">
        <v>1</v>
      </c>
      <c r="G99">
        <v>10</v>
      </c>
      <c r="H99" s="4">
        <v>10</v>
      </c>
      <c r="I99" s="4">
        <v>11</v>
      </c>
      <c r="J99" s="4">
        <v>13.93</v>
      </c>
      <c r="K99" s="4">
        <v>12</v>
      </c>
      <c r="L99" s="4">
        <v>6878</v>
      </c>
    </row>
    <row r="100" spans="1:12" x14ac:dyDescent="0.3">
      <c r="A100" t="s">
        <v>34</v>
      </c>
      <c r="B100" t="s">
        <v>9</v>
      </c>
      <c r="C100" t="s">
        <v>120</v>
      </c>
      <c r="D100" t="s">
        <v>134</v>
      </c>
      <c r="E100" t="s">
        <v>142</v>
      </c>
      <c r="F100">
        <v>1</v>
      </c>
      <c r="G100">
        <v>10</v>
      </c>
      <c r="H100" s="4">
        <v>11</v>
      </c>
      <c r="I100" s="4">
        <v>12</v>
      </c>
      <c r="J100" s="4">
        <v>13.91</v>
      </c>
      <c r="K100" s="4">
        <v>15</v>
      </c>
      <c r="L100" s="4">
        <v>9688</v>
      </c>
    </row>
    <row r="101" spans="1:12" x14ac:dyDescent="0.3">
      <c r="A101" t="s">
        <v>34</v>
      </c>
      <c r="B101" t="s">
        <v>9</v>
      </c>
      <c r="C101" t="s">
        <v>120</v>
      </c>
      <c r="D101" t="s">
        <v>135</v>
      </c>
      <c r="E101" t="s">
        <v>142</v>
      </c>
      <c r="F101">
        <v>1</v>
      </c>
      <c r="G101">
        <v>10</v>
      </c>
      <c r="H101" s="4">
        <v>10</v>
      </c>
      <c r="I101" s="4">
        <v>12</v>
      </c>
      <c r="J101" s="4">
        <v>13.23</v>
      </c>
      <c r="K101" s="4">
        <v>13</v>
      </c>
      <c r="L101" s="4">
        <v>5444</v>
      </c>
    </row>
    <row r="102" spans="1:12" x14ac:dyDescent="0.3">
      <c r="A102" t="s">
        <v>10</v>
      </c>
      <c r="B102" t="s">
        <v>43</v>
      </c>
      <c r="C102" t="s">
        <v>120</v>
      </c>
      <c r="D102" t="s">
        <v>157</v>
      </c>
      <c r="E102" t="s">
        <v>142</v>
      </c>
      <c r="F102">
        <v>2</v>
      </c>
      <c r="G102">
        <v>10</v>
      </c>
      <c r="H102" s="4">
        <v>11</v>
      </c>
      <c r="I102" s="4">
        <v>13</v>
      </c>
      <c r="J102" s="4">
        <v>14.44</v>
      </c>
      <c r="K102" s="4">
        <v>16</v>
      </c>
      <c r="L102" s="4">
        <v>11119</v>
      </c>
    </row>
    <row r="103" spans="1:12" x14ac:dyDescent="0.3">
      <c r="A103" t="s">
        <v>10</v>
      </c>
      <c r="B103" t="s">
        <v>43</v>
      </c>
      <c r="C103" t="s">
        <v>120</v>
      </c>
      <c r="D103" t="s">
        <v>158</v>
      </c>
      <c r="E103" t="s">
        <v>142</v>
      </c>
      <c r="F103">
        <v>2</v>
      </c>
      <c r="G103">
        <v>10</v>
      </c>
      <c r="H103" s="4">
        <v>11</v>
      </c>
      <c r="I103" s="4">
        <v>12</v>
      </c>
      <c r="J103" s="4">
        <v>14.07</v>
      </c>
      <c r="K103" s="4">
        <v>15</v>
      </c>
      <c r="L103" s="4">
        <v>16102</v>
      </c>
    </row>
    <row r="104" spans="1:12" x14ac:dyDescent="0.3">
      <c r="A104" t="s">
        <v>10</v>
      </c>
      <c r="B104" t="s">
        <v>43</v>
      </c>
      <c r="C104" t="s">
        <v>120</v>
      </c>
      <c r="D104" t="s">
        <v>159</v>
      </c>
      <c r="E104" t="s">
        <v>142</v>
      </c>
      <c r="F104">
        <v>2</v>
      </c>
      <c r="G104">
        <v>10</v>
      </c>
      <c r="H104" s="4">
        <v>11</v>
      </c>
      <c r="I104" s="4">
        <v>13</v>
      </c>
      <c r="J104" s="4">
        <v>15.35</v>
      </c>
      <c r="K104" s="4">
        <v>16</v>
      </c>
      <c r="L104" s="4">
        <v>50463</v>
      </c>
    </row>
    <row r="105" spans="1:12" x14ac:dyDescent="0.3">
      <c r="A105" t="s">
        <v>15</v>
      </c>
      <c r="B105" t="s">
        <v>43</v>
      </c>
      <c r="C105" t="s">
        <v>120</v>
      </c>
      <c r="D105" t="s">
        <v>162</v>
      </c>
      <c r="E105" t="s">
        <v>142</v>
      </c>
      <c r="F105">
        <v>2</v>
      </c>
      <c r="G105">
        <v>10</v>
      </c>
      <c r="H105" s="4">
        <v>13</v>
      </c>
      <c r="I105" s="4">
        <v>18</v>
      </c>
      <c r="J105" s="4">
        <v>23.09</v>
      </c>
      <c r="K105" s="4">
        <v>29</v>
      </c>
      <c r="L105" s="4">
        <v>33677</v>
      </c>
    </row>
    <row r="106" spans="1:12" x14ac:dyDescent="0.3">
      <c r="A106" t="s">
        <v>15</v>
      </c>
      <c r="B106" t="s">
        <v>43</v>
      </c>
      <c r="C106" t="s">
        <v>120</v>
      </c>
      <c r="D106" t="s">
        <v>160</v>
      </c>
      <c r="E106" t="s">
        <v>142</v>
      </c>
      <c r="F106">
        <v>2</v>
      </c>
      <c r="G106">
        <v>10</v>
      </c>
      <c r="H106" s="4">
        <v>12</v>
      </c>
      <c r="I106" s="4">
        <v>17</v>
      </c>
      <c r="J106" s="4">
        <v>19.920000000000002</v>
      </c>
      <c r="K106" s="4">
        <v>24</v>
      </c>
      <c r="L106" s="4">
        <v>34412</v>
      </c>
    </row>
    <row r="107" spans="1:12" x14ac:dyDescent="0.3">
      <c r="A107" t="s">
        <v>15</v>
      </c>
      <c r="B107" t="s">
        <v>43</v>
      </c>
      <c r="C107" t="s">
        <v>120</v>
      </c>
      <c r="D107" t="s">
        <v>161</v>
      </c>
      <c r="E107" t="s">
        <v>142</v>
      </c>
      <c r="F107">
        <v>2</v>
      </c>
      <c r="G107">
        <v>10</v>
      </c>
      <c r="H107" s="4">
        <v>12</v>
      </c>
      <c r="I107" s="4">
        <v>15</v>
      </c>
      <c r="J107" s="4">
        <v>17.59</v>
      </c>
      <c r="K107" s="4">
        <v>21</v>
      </c>
      <c r="L107" s="4">
        <v>11740</v>
      </c>
    </row>
    <row r="108" spans="1:12" x14ac:dyDescent="0.3">
      <c r="A108" t="s">
        <v>25</v>
      </c>
      <c r="B108" t="s">
        <v>43</v>
      </c>
      <c r="C108" t="s">
        <v>120</v>
      </c>
      <c r="D108" t="s">
        <v>98</v>
      </c>
      <c r="E108" t="s">
        <v>142</v>
      </c>
      <c r="F108">
        <v>1</v>
      </c>
      <c r="G108">
        <v>10</v>
      </c>
      <c r="H108" s="4">
        <v>11</v>
      </c>
      <c r="I108" s="4">
        <v>12</v>
      </c>
      <c r="J108" s="4">
        <v>13.53</v>
      </c>
      <c r="K108" s="4">
        <v>14</v>
      </c>
      <c r="L108" s="4">
        <v>7941</v>
      </c>
    </row>
    <row r="109" spans="1:12" x14ac:dyDescent="0.3">
      <c r="A109" t="s">
        <v>25</v>
      </c>
      <c r="B109" t="s">
        <v>43</v>
      </c>
      <c r="C109" t="s">
        <v>120</v>
      </c>
      <c r="D109" t="s">
        <v>101</v>
      </c>
      <c r="E109" t="s">
        <v>142</v>
      </c>
      <c r="F109">
        <v>1</v>
      </c>
      <c r="G109">
        <v>10</v>
      </c>
      <c r="H109" s="4">
        <v>10</v>
      </c>
      <c r="I109" s="4">
        <v>11</v>
      </c>
      <c r="J109" s="4">
        <v>13.09</v>
      </c>
      <c r="K109" s="4">
        <v>13</v>
      </c>
      <c r="L109" s="4">
        <v>6740</v>
      </c>
    </row>
    <row r="110" spans="1:12" x14ac:dyDescent="0.3">
      <c r="A110" t="s">
        <v>25</v>
      </c>
      <c r="B110" t="s">
        <v>43</v>
      </c>
      <c r="C110" t="s">
        <v>120</v>
      </c>
      <c r="D110" t="s">
        <v>102</v>
      </c>
      <c r="E110" t="s">
        <v>142</v>
      </c>
      <c r="F110">
        <v>1</v>
      </c>
      <c r="G110">
        <v>10</v>
      </c>
      <c r="H110" s="4">
        <v>11</v>
      </c>
      <c r="I110" s="4">
        <v>12</v>
      </c>
      <c r="J110" s="4">
        <v>13.53</v>
      </c>
      <c r="K110" s="4">
        <v>14</v>
      </c>
      <c r="L110" s="4">
        <v>8597</v>
      </c>
    </row>
    <row r="111" spans="1:12" x14ac:dyDescent="0.3">
      <c r="A111" t="s">
        <v>25</v>
      </c>
      <c r="B111" t="s">
        <v>43</v>
      </c>
      <c r="C111" t="s">
        <v>120</v>
      </c>
      <c r="D111" t="s">
        <v>103</v>
      </c>
      <c r="E111" t="s">
        <v>142</v>
      </c>
      <c r="F111">
        <v>1</v>
      </c>
      <c r="G111">
        <v>10</v>
      </c>
      <c r="H111" s="4">
        <v>11</v>
      </c>
      <c r="I111" s="4">
        <v>12</v>
      </c>
      <c r="J111" s="4">
        <v>13.98</v>
      </c>
      <c r="K111" s="4">
        <v>15</v>
      </c>
      <c r="L111" s="4">
        <v>10606</v>
      </c>
    </row>
    <row r="112" spans="1:12" x14ac:dyDescent="0.3">
      <c r="A112" t="s">
        <v>34</v>
      </c>
      <c r="B112" t="s">
        <v>43</v>
      </c>
      <c r="C112" t="s">
        <v>120</v>
      </c>
      <c r="D112" t="s">
        <v>104</v>
      </c>
      <c r="E112" t="s">
        <v>142</v>
      </c>
      <c r="F112">
        <v>1</v>
      </c>
      <c r="G112">
        <v>10</v>
      </c>
      <c r="H112" s="4">
        <v>10</v>
      </c>
      <c r="I112" s="4">
        <v>11</v>
      </c>
      <c r="J112" s="4">
        <v>16.52</v>
      </c>
      <c r="K112" s="4">
        <v>12</v>
      </c>
      <c r="L112" s="4">
        <v>7433</v>
      </c>
    </row>
    <row r="113" spans="1:12" x14ac:dyDescent="0.3">
      <c r="A113" t="s">
        <v>34</v>
      </c>
      <c r="B113" t="s">
        <v>43</v>
      </c>
      <c r="C113" t="s">
        <v>120</v>
      </c>
      <c r="D113" t="s">
        <v>105</v>
      </c>
      <c r="E113" t="s">
        <v>142</v>
      </c>
      <c r="F113">
        <v>1</v>
      </c>
      <c r="G113">
        <v>10</v>
      </c>
      <c r="H113" s="4">
        <v>10</v>
      </c>
      <c r="I113" s="4">
        <v>11</v>
      </c>
      <c r="J113" s="4">
        <v>15.89</v>
      </c>
      <c r="K113" s="4">
        <v>12</v>
      </c>
      <c r="L113" s="4">
        <v>7961</v>
      </c>
    </row>
    <row r="114" spans="1:12" x14ac:dyDescent="0.3">
      <c r="A114" t="s">
        <v>34</v>
      </c>
      <c r="B114" t="s">
        <v>43</v>
      </c>
      <c r="C114" t="s">
        <v>120</v>
      </c>
      <c r="D114" t="s">
        <v>106</v>
      </c>
      <c r="E114" t="s">
        <v>142</v>
      </c>
      <c r="F114">
        <v>1</v>
      </c>
      <c r="G114">
        <v>10</v>
      </c>
      <c r="H114" s="4">
        <v>10</v>
      </c>
      <c r="I114" s="4">
        <v>11</v>
      </c>
      <c r="J114" s="4">
        <v>13.95</v>
      </c>
      <c r="K114" s="4">
        <v>13</v>
      </c>
      <c r="L114" s="4">
        <v>10858</v>
      </c>
    </row>
    <row r="115" spans="1:12" x14ac:dyDescent="0.3">
      <c r="A115" t="s">
        <v>34</v>
      </c>
      <c r="B115" t="s">
        <v>43</v>
      </c>
      <c r="C115" t="s">
        <v>120</v>
      </c>
      <c r="D115" t="s">
        <v>107</v>
      </c>
      <c r="E115" t="s">
        <v>142</v>
      </c>
      <c r="F115">
        <v>1</v>
      </c>
      <c r="G115">
        <v>10</v>
      </c>
      <c r="H115" s="4">
        <v>10</v>
      </c>
      <c r="I115" s="4">
        <v>12</v>
      </c>
      <c r="J115" s="4">
        <v>13.63</v>
      </c>
      <c r="K115" s="4">
        <v>14</v>
      </c>
      <c r="L115" s="4">
        <v>7367</v>
      </c>
    </row>
  </sheetData>
  <sortState xmlns:xlrd2="http://schemas.microsoft.com/office/spreadsheetml/2017/richdata2" ref="A2:L61">
    <sortCondition ref="E2:E61"/>
  </sortState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47C7-8025-4BD5-BFAE-F9E61392595C}">
  <dimension ref="A1:Q115"/>
  <sheetViews>
    <sheetView workbookViewId="0">
      <pane xSplit="5" topLeftCell="N1" activePane="topRight" state="frozen"/>
      <selection pane="topRight" activeCell="C8" sqref="C8"/>
    </sheetView>
  </sheetViews>
  <sheetFormatPr defaultRowHeight="14.4" x14ac:dyDescent="0.3"/>
  <cols>
    <col min="1" max="1" width="10.21875" bestFit="1" customWidth="1"/>
    <col min="2" max="2" width="14.44140625" bestFit="1" customWidth="1"/>
    <col min="3" max="3" width="17.33203125" bestFit="1" customWidth="1"/>
    <col min="4" max="4" width="17.77734375" bestFit="1" customWidth="1"/>
    <col min="5" max="5" width="16.5546875" bestFit="1" customWidth="1"/>
    <col min="13" max="13" width="13.21875" bestFit="1" customWidth="1"/>
    <col min="14" max="14" width="22" bestFit="1" customWidth="1"/>
    <col min="15" max="15" width="10.77734375" bestFit="1" customWidth="1"/>
    <col min="16" max="16" width="9.6640625" bestFit="1" customWidth="1"/>
  </cols>
  <sheetData>
    <row r="1" spans="1:17" x14ac:dyDescent="0.3">
      <c r="A1" s="2" t="s">
        <v>1</v>
      </c>
      <c r="B1" s="2" t="s">
        <v>112</v>
      </c>
      <c r="C1" s="2" t="s">
        <v>146</v>
      </c>
      <c r="D1" s="2" t="s">
        <v>113</v>
      </c>
      <c r="E1" s="2" t="s">
        <v>87</v>
      </c>
      <c r="F1" s="2" t="s">
        <v>163</v>
      </c>
      <c r="G1" s="2" t="s">
        <v>114</v>
      </c>
      <c r="H1" s="2" t="s">
        <v>115</v>
      </c>
      <c r="I1" s="2" t="s">
        <v>116</v>
      </c>
      <c r="J1" s="2" t="s">
        <v>117</v>
      </c>
      <c r="K1" s="2" t="s">
        <v>118</v>
      </c>
      <c r="L1" s="2" t="s">
        <v>119</v>
      </c>
      <c r="M1" s="2" t="s">
        <v>249</v>
      </c>
      <c r="N1" s="2" t="s">
        <v>250</v>
      </c>
      <c r="O1" s="2" t="s">
        <v>251</v>
      </c>
    </row>
    <row r="2" spans="1:17" x14ac:dyDescent="0.3">
      <c r="A2" t="s">
        <v>25</v>
      </c>
      <c r="B2" t="s">
        <v>140</v>
      </c>
      <c r="C2" t="s">
        <v>136</v>
      </c>
      <c r="D2" t="s">
        <v>147</v>
      </c>
      <c r="E2" t="s">
        <v>97</v>
      </c>
      <c r="F2">
        <v>1</v>
      </c>
      <c r="G2">
        <v>0</v>
      </c>
      <c r="H2" s="4">
        <v>27.27</v>
      </c>
      <c r="I2" s="4">
        <v>70</v>
      </c>
      <c r="J2" s="4">
        <v>58.55</v>
      </c>
      <c r="K2" s="4">
        <v>90</v>
      </c>
      <c r="L2" s="4">
        <v>100</v>
      </c>
      <c r="M2">
        <f>14.2+5</f>
        <v>19.2</v>
      </c>
      <c r="N2">
        <f>100-(M2+O2)</f>
        <v>59.2</v>
      </c>
      <c r="O2">
        <f>8.7+12.9</f>
        <v>21.6</v>
      </c>
      <c r="Q2" t="s">
        <v>205</v>
      </c>
    </row>
    <row r="3" spans="1:17" x14ac:dyDescent="0.3">
      <c r="A3" t="s">
        <v>25</v>
      </c>
      <c r="B3" t="s">
        <v>140</v>
      </c>
      <c r="C3" t="s">
        <v>137</v>
      </c>
      <c r="D3" t="s">
        <v>147</v>
      </c>
      <c r="E3" t="s">
        <v>97</v>
      </c>
      <c r="F3">
        <v>1</v>
      </c>
      <c r="G3" s="4">
        <v>0</v>
      </c>
      <c r="H3" s="4">
        <v>35.71</v>
      </c>
      <c r="I3" s="4">
        <v>76.739999999999995</v>
      </c>
      <c r="J3" s="4">
        <v>62.9</v>
      </c>
      <c r="K3" s="4">
        <v>91.67</v>
      </c>
      <c r="L3" s="4">
        <v>100</v>
      </c>
      <c r="M3">
        <f>13.2+4.4</f>
        <v>17.600000000000001</v>
      </c>
      <c r="N3">
        <f t="shared" ref="N3:N66" si="0">100-(M3+O3)</f>
        <v>53.5</v>
      </c>
      <c r="O3">
        <f>10.5+18.4</f>
        <v>28.9</v>
      </c>
    </row>
    <row r="4" spans="1:17" x14ac:dyDescent="0.3">
      <c r="A4" t="s">
        <v>34</v>
      </c>
      <c r="B4" t="s">
        <v>140</v>
      </c>
      <c r="C4" t="s">
        <v>138</v>
      </c>
      <c r="D4" t="s">
        <v>147</v>
      </c>
      <c r="E4" t="s">
        <v>97</v>
      </c>
      <c r="F4">
        <v>1</v>
      </c>
      <c r="G4">
        <v>0</v>
      </c>
      <c r="H4" s="4">
        <v>30.77</v>
      </c>
      <c r="I4" s="4">
        <v>72.73</v>
      </c>
      <c r="J4" s="4">
        <v>61.39</v>
      </c>
      <c r="K4" s="4">
        <v>90.91</v>
      </c>
      <c r="L4" s="4">
        <v>100</v>
      </c>
      <c r="M4">
        <f>13.8+4.6</f>
        <v>18.399999999999999</v>
      </c>
      <c r="N4">
        <f t="shared" si="0"/>
        <v>55.300000000000004</v>
      </c>
      <c r="O4">
        <f>9.9+16.4</f>
        <v>26.299999999999997</v>
      </c>
    </row>
    <row r="5" spans="1:17" x14ac:dyDescent="0.3">
      <c r="A5" t="s">
        <v>34</v>
      </c>
      <c r="B5" t="s">
        <v>140</v>
      </c>
      <c r="C5" t="s">
        <v>139</v>
      </c>
      <c r="D5" t="s">
        <v>147</v>
      </c>
      <c r="E5" t="s">
        <v>97</v>
      </c>
      <c r="F5">
        <v>1</v>
      </c>
      <c r="G5">
        <v>0</v>
      </c>
      <c r="H5" s="4">
        <v>30</v>
      </c>
      <c r="I5" s="4">
        <v>72.73</v>
      </c>
      <c r="J5" s="4">
        <v>61.09</v>
      </c>
      <c r="K5" s="4">
        <v>90.91</v>
      </c>
      <c r="L5" s="4">
        <v>100</v>
      </c>
      <c r="M5">
        <f>14+4.9</f>
        <v>18.899999999999999</v>
      </c>
      <c r="N5">
        <f t="shared" si="0"/>
        <v>54.5</v>
      </c>
      <c r="O5">
        <f>9.6+17</f>
        <v>26.6</v>
      </c>
      <c r="P5" t="s">
        <v>120</v>
      </c>
      <c r="Q5">
        <f>AVERAGE(N6:N39)</f>
        <v>28.558823529411761</v>
      </c>
    </row>
    <row r="6" spans="1:17" x14ac:dyDescent="0.3">
      <c r="A6" t="s">
        <v>20</v>
      </c>
      <c r="B6" t="s">
        <v>140</v>
      </c>
      <c r="C6" t="s">
        <v>122</v>
      </c>
      <c r="D6" t="s">
        <v>120</v>
      </c>
      <c r="E6" t="s">
        <v>97</v>
      </c>
      <c r="F6">
        <v>1</v>
      </c>
      <c r="G6">
        <v>0</v>
      </c>
      <c r="H6" s="4">
        <v>0</v>
      </c>
      <c r="I6" s="4">
        <v>0</v>
      </c>
      <c r="J6" s="4">
        <v>21.64</v>
      </c>
      <c r="K6" s="4">
        <v>26.67</v>
      </c>
      <c r="L6" s="4">
        <v>100</v>
      </c>
      <c r="M6">
        <f>60.1+9.5</f>
        <v>69.599999999999994</v>
      </c>
      <c r="N6">
        <f t="shared" si="0"/>
        <v>19.400000000000006</v>
      </c>
      <c r="O6">
        <f>8+3</f>
        <v>11</v>
      </c>
      <c r="P6" t="s">
        <v>120</v>
      </c>
      <c r="Q6">
        <f>_xlfn.STDEV.S(N6:N39)</f>
        <v>8.3725061469094157</v>
      </c>
    </row>
    <row r="7" spans="1:17" x14ac:dyDescent="0.3">
      <c r="A7" t="s">
        <v>20</v>
      </c>
      <c r="B7" t="s">
        <v>140</v>
      </c>
      <c r="C7" t="s">
        <v>123</v>
      </c>
      <c r="D7" t="s">
        <v>120</v>
      </c>
      <c r="E7" t="s">
        <v>97</v>
      </c>
      <c r="F7">
        <v>1</v>
      </c>
      <c r="G7">
        <v>0</v>
      </c>
      <c r="H7" s="4">
        <v>0</v>
      </c>
      <c r="I7" s="4">
        <v>0</v>
      </c>
      <c r="J7" s="4">
        <v>23.85</v>
      </c>
      <c r="K7" s="4">
        <v>40</v>
      </c>
      <c r="L7" s="4">
        <v>100</v>
      </c>
      <c r="M7">
        <f>59.1+9.3</f>
        <v>68.400000000000006</v>
      </c>
      <c r="N7">
        <f t="shared" si="0"/>
        <v>17.799999999999997</v>
      </c>
      <c r="O7">
        <f>3.3+10.5</f>
        <v>13.8</v>
      </c>
      <c r="P7" t="s">
        <v>147</v>
      </c>
      <c r="Q7">
        <f>AVERAGE(N2:N5)</f>
        <v>55.625</v>
      </c>
    </row>
    <row r="8" spans="1:17" x14ac:dyDescent="0.3">
      <c r="A8" t="s">
        <v>20</v>
      </c>
      <c r="B8" t="s">
        <v>140</v>
      </c>
      <c r="C8" t="s">
        <v>155</v>
      </c>
      <c r="D8" t="s">
        <v>120</v>
      </c>
      <c r="E8" t="s">
        <v>97</v>
      </c>
      <c r="F8">
        <v>2</v>
      </c>
      <c r="G8">
        <v>0</v>
      </c>
      <c r="H8" s="4">
        <v>8</v>
      </c>
      <c r="I8" s="4">
        <v>72.22</v>
      </c>
      <c r="J8" s="4">
        <v>56.4</v>
      </c>
      <c r="K8" s="4">
        <v>90.62</v>
      </c>
      <c r="L8" s="4">
        <v>100</v>
      </c>
      <c r="M8">
        <f>22.2+4.4</f>
        <v>26.6</v>
      </c>
      <c r="N8">
        <f t="shared" si="0"/>
        <v>47.8</v>
      </c>
      <c r="O8">
        <f>10.9+14.7</f>
        <v>25.6</v>
      </c>
      <c r="P8" t="s">
        <v>147</v>
      </c>
      <c r="Q8">
        <f>_xlfn.STDEV.S(N2:N5)</f>
        <v>2.4944939366532854</v>
      </c>
    </row>
    <row r="9" spans="1:17" x14ac:dyDescent="0.3">
      <c r="A9" t="s">
        <v>20</v>
      </c>
      <c r="B9" t="s">
        <v>140</v>
      </c>
      <c r="C9" t="s">
        <v>156</v>
      </c>
      <c r="D9" t="s">
        <v>120</v>
      </c>
      <c r="E9" t="s">
        <v>97</v>
      </c>
      <c r="F9">
        <v>2</v>
      </c>
      <c r="G9">
        <v>0</v>
      </c>
      <c r="H9" s="4">
        <v>0</v>
      </c>
      <c r="I9" s="4">
        <v>60</v>
      </c>
      <c r="J9" s="4">
        <v>49</v>
      </c>
      <c r="K9" s="4">
        <v>90.91</v>
      </c>
      <c r="L9" s="4">
        <v>100</v>
      </c>
      <c r="M9">
        <f>31.8+6.2</f>
        <v>38</v>
      </c>
      <c r="N9">
        <f t="shared" si="0"/>
        <v>36.200000000000003</v>
      </c>
      <c r="O9">
        <f>10.1+15.7</f>
        <v>25.799999999999997</v>
      </c>
    </row>
    <row r="10" spans="1:17" x14ac:dyDescent="0.3">
      <c r="A10" t="s">
        <v>15</v>
      </c>
      <c r="B10" t="s">
        <v>140</v>
      </c>
      <c r="C10" t="s">
        <v>124</v>
      </c>
      <c r="D10" t="s">
        <v>120</v>
      </c>
      <c r="E10" t="s">
        <v>97</v>
      </c>
      <c r="F10">
        <v>1</v>
      </c>
      <c r="G10">
        <v>0</v>
      </c>
      <c r="H10" s="4">
        <v>0</v>
      </c>
      <c r="I10" s="4">
        <v>8.3330000000000002</v>
      </c>
      <c r="J10" s="4">
        <v>35.578000000000003</v>
      </c>
      <c r="K10" s="4">
        <v>86.667000000000002</v>
      </c>
      <c r="L10" s="4">
        <v>100</v>
      </c>
      <c r="M10">
        <f>45+10.3</f>
        <v>55.3</v>
      </c>
      <c r="N10">
        <f t="shared" si="0"/>
        <v>22.599999999999994</v>
      </c>
      <c r="O10">
        <f>4.8+17.3</f>
        <v>22.1</v>
      </c>
    </row>
    <row r="11" spans="1:17" x14ac:dyDescent="0.3">
      <c r="A11" t="s">
        <v>15</v>
      </c>
      <c r="B11" t="s">
        <v>140</v>
      </c>
      <c r="C11" t="s">
        <v>125</v>
      </c>
      <c r="D11" t="s">
        <v>120</v>
      </c>
      <c r="E11" t="s">
        <v>97</v>
      </c>
      <c r="F11">
        <v>1</v>
      </c>
      <c r="G11">
        <v>0</v>
      </c>
      <c r="H11" s="4">
        <v>0</v>
      </c>
      <c r="I11" s="4">
        <v>6.6669999999999998</v>
      </c>
      <c r="J11" s="4">
        <v>34.811999999999998</v>
      </c>
      <c r="K11" s="4">
        <v>88.888999999999996</v>
      </c>
      <c r="L11" s="4">
        <v>100</v>
      </c>
      <c r="M11">
        <f>47.8+9.2</f>
        <v>57</v>
      </c>
      <c r="N11">
        <f t="shared" si="0"/>
        <v>20.599999999999994</v>
      </c>
      <c r="O11">
        <f>5.4+17</f>
        <v>22.4</v>
      </c>
    </row>
    <row r="12" spans="1:17" x14ac:dyDescent="0.3">
      <c r="A12" t="s">
        <v>15</v>
      </c>
      <c r="B12" t="s">
        <v>140</v>
      </c>
      <c r="C12" t="s">
        <v>153</v>
      </c>
      <c r="D12" t="s">
        <v>120</v>
      </c>
      <c r="E12" t="s">
        <v>97</v>
      </c>
      <c r="F12">
        <v>2</v>
      </c>
      <c r="G12">
        <v>0</v>
      </c>
      <c r="H12" s="4">
        <v>2.0760000000000001</v>
      </c>
      <c r="I12" s="4">
        <v>64.286000000000001</v>
      </c>
      <c r="J12" s="4">
        <v>50.545999999999999</v>
      </c>
      <c r="K12" s="4">
        <v>91.176000000000002</v>
      </c>
      <c r="L12" s="4">
        <v>100</v>
      </c>
      <c r="M12" s="7">
        <f>30.3+5.6</f>
        <v>35.9</v>
      </c>
      <c r="N12">
        <f t="shared" si="0"/>
        <v>37</v>
      </c>
      <c r="O12">
        <f>10.5+16.6</f>
        <v>27.1</v>
      </c>
    </row>
    <row r="13" spans="1:17" x14ac:dyDescent="0.3">
      <c r="A13" t="s">
        <v>15</v>
      </c>
      <c r="B13" t="s">
        <v>140</v>
      </c>
      <c r="C13" t="s">
        <v>154</v>
      </c>
      <c r="D13" t="s">
        <v>120</v>
      </c>
      <c r="E13" t="s">
        <v>97</v>
      </c>
      <c r="F13">
        <v>2</v>
      </c>
      <c r="G13">
        <v>0</v>
      </c>
      <c r="H13" s="4">
        <v>8.3330000000000002</v>
      </c>
      <c r="I13" s="4">
        <v>81.817999999999998</v>
      </c>
      <c r="J13" s="4">
        <v>60.88</v>
      </c>
      <c r="K13" s="4">
        <v>94.117999999999995</v>
      </c>
      <c r="L13" s="4">
        <v>100</v>
      </c>
      <c r="M13">
        <f>21.8+5</f>
        <v>26.8</v>
      </c>
      <c r="N13">
        <f t="shared" si="0"/>
        <v>36.400000000000006</v>
      </c>
      <c r="O13">
        <f>13.7+23.1</f>
        <v>36.799999999999997</v>
      </c>
      <c r="P13" t="s">
        <v>236</v>
      </c>
      <c r="Q13">
        <f>AVERAGE(M6:M39)</f>
        <v>51.611764705882351</v>
      </c>
    </row>
    <row r="14" spans="1:17" x14ac:dyDescent="0.3">
      <c r="A14" t="s">
        <v>10</v>
      </c>
      <c r="B14" t="s">
        <v>140</v>
      </c>
      <c r="C14" t="s">
        <v>126</v>
      </c>
      <c r="D14" t="s">
        <v>120</v>
      </c>
      <c r="E14" t="s">
        <v>97</v>
      </c>
      <c r="F14">
        <v>1</v>
      </c>
      <c r="G14">
        <v>0</v>
      </c>
      <c r="H14" s="4">
        <v>0</v>
      </c>
      <c r="I14" s="4">
        <v>9.0909999999999993</v>
      </c>
      <c r="J14" s="4">
        <v>38.011000000000003</v>
      </c>
      <c r="K14" s="4">
        <v>90</v>
      </c>
      <c r="L14" s="4">
        <v>100</v>
      </c>
      <c r="M14">
        <f>43.3+9</f>
        <v>52.3</v>
      </c>
      <c r="N14">
        <f t="shared" si="0"/>
        <v>23.300000000000011</v>
      </c>
      <c r="O14">
        <f>6.4+18</f>
        <v>24.4</v>
      </c>
      <c r="P14" t="s">
        <v>236</v>
      </c>
      <c r="Q14">
        <f>_xlfn.STDEV.S(M6:M39)</f>
        <v>14.825076313480972</v>
      </c>
    </row>
    <row r="15" spans="1:17" x14ac:dyDescent="0.3">
      <c r="A15" t="s">
        <v>10</v>
      </c>
      <c r="B15" t="s">
        <v>140</v>
      </c>
      <c r="C15" t="s">
        <v>127</v>
      </c>
      <c r="D15" t="s">
        <v>120</v>
      </c>
      <c r="E15" t="s">
        <v>97</v>
      </c>
      <c r="F15">
        <v>1</v>
      </c>
      <c r="G15">
        <v>0</v>
      </c>
      <c r="H15" s="4">
        <v>0</v>
      </c>
      <c r="I15" s="4">
        <v>0</v>
      </c>
      <c r="J15" s="4">
        <v>28.61</v>
      </c>
      <c r="K15" s="4">
        <v>71.430000000000007</v>
      </c>
      <c r="L15" s="4">
        <v>100</v>
      </c>
      <c r="M15">
        <f>53+9.4</f>
        <v>62.4</v>
      </c>
      <c r="N15">
        <f t="shared" si="0"/>
        <v>20.799999999999997</v>
      </c>
      <c r="O15">
        <f>4.3+12.5</f>
        <v>16.8</v>
      </c>
      <c r="P15" t="s">
        <v>142</v>
      </c>
      <c r="Q15">
        <f>AVERAGE(M82:M115)</f>
        <v>43.720588235294116</v>
      </c>
    </row>
    <row r="16" spans="1:17" x14ac:dyDescent="0.3">
      <c r="A16" t="s">
        <v>10</v>
      </c>
      <c r="B16" t="s">
        <v>140</v>
      </c>
      <c r="C16" t="s">
        <v>152</v>
      </c>
      <c r="D16" t="s">
        <v>120</v>
      </c>
      <c r="E16" t="s">
        <v>97</v>
      </c>
      <c r="F16">
        <v>2</v>
      </c>
      <c r="G16">
        <v>0</v>
      </c>
      <c r="H16" s="4">
        <v>0</v>
      </c>
      <c r="I16" s="4">
        <v>60</v>
      </c>
      <c r="J16" s="4">
        <v>49.19</v>
      </c>
      <c r="K16" s="4">
        <v>90.91</v>
      </c>
      <c r="L16" s="4">
        <v>100</v>
      </c>
      <c r="M16" s="7">
        <f>32.2+5.6</f>
        <v>37.800000000000004</v>
      </c>
      <c r="N16">
        <f t="shared" si="0"/>
        <v>35.699999999999989</v>
      </c>
      <c r="O16">
        <f>10+16.5</f>
        <v>26.5</v>
      </c>
      <c r="P16" t="s">
        <v>142</v>
      </c>
      <c r="Q16">
        <f>_xlfn.STDEV.S(M82:M115)</f>
        <v>13.868970803871697</v>
      </c>
    </row>
    <row r="17" spans="1:15" x14ac:dyDescent="0.3">
      <c r="A17" t="s">
        <v>10</v>
      </c>
      <c r="B17" t="s">
        <v>140</v>
      </c>
      <c r="C17" t="s">
        <v>151</v>
      </c>
      <c r="D17" t="s">
        <v>120</v>
      </c>
      <c r="E17" t="s">
        <v>97</v>
      </c>
      <c r="F17">
        <v>2</v>
      </c>
      <c r="G17">
        <v>0</v>
      </c>
      <c r="H17" s="4">
        <v>0</v>
      </c>
      <c r="I17" s="4">
        <v>9.0909999999999993</v>
      </c>
      <c r="J17" s="4">
        <v>38.576999999999998</v>
      </c>
      <c r="K17" s="4">
        <v>88.234999999999999</v>
      </c>
      <c r="L17" s="4">
        <v>100</v>
      </c>
      <c r="M17">
        <f>43.4+8</f>
        <v>51.4</v>
      </c>
      <c r="N17">
        <f t="shared" si="0"/>
        <v>26.200000000000003</v>
      </c>
      <c r="O17">
        <f>7.8+14.6</f>
        <v>22.4</v>
      </c>
    </row>
    <row r="18" spans="1:15" x14ac:dyDescent="0.3">
      <c r="A18" t="s">
        <v>25</v>
      </c>
      <c r="B18" t="s">
        <v>140</v>
      </c>
      <c r="C18" t="s">
        <v>128</v>
      </c>
      <c r="D18" t="s">
        <v>120</v>
      </c>
      <c r="E18" t="s">
        <v>97</v>
      </c>
      <c r="F18">
        <v>1</v>
      </c>
      <c r="G18">
        <v>0</v>
      </c>
      <c r="H18" s="4">
        <v>0</v>
      </c>
      <c r="I18" s="4">
        <v>0</v>
      </c>
      <c r="J18" s="4">
        <v>23.24</v>
      </c>
      <c r="K18" s="4">
        <v>40</v>
      </c>
      <c r="L18" s="4">
        <v>100</v>
      </c>
      <c r="M18">
        <f>58.2+9</f>
        <v>67.2</v>
      </c>
      <c r="N18">
        <f t="shared" si="0"/>
        <v>21.599999999999994</v>
      </c>
      <c r="O18">
        <f>3+8.2</f>
        <v>11.2</v>
      </c>
    </row>
    <row r="19" spans="1:15" x14ac:dyDescent="0.3">
      <c r="A19" t="s">
        <v>25</v>
      </c>
      <c r="B19" t="s">
        <v>140</v>
      </c>
      <c r="C19" t="s">
        <v>129</v>
      </c>
      <c r="D19" t="s">
        <v>120</v>
      </c>
      <c r="E19" t="s">
        <v>97</v>
      </c>
      <c r="F19">
        <v>1</v>
      </c>
      <c r="G19">
        <v>0</v>
      </c>
      <c r="H19" s="4">
        <v>0</v>
      </c>
      <c r="I19" s="4">
        <v>0</v>
      </c>
      <c r="J19" s="4">
        <v>26.11</v>
      </c>
      <c r="K19" s="4">
        <v>58.33</v>
      </c>
      <c r="L19" s="4">
        <v>100</v>
      </c>
      <c r="M19">
        <f>54.7+8.7</f>
        <v>63.400000000000006</v>
      </c>
      <c r="N19">
        <f t="shared" si="0"/>
        <v>24.899999999999991</v>
      </c>
      <c r="O19">
        <f>3.5+8.2</f>
        <v>11.7</v>
      </c>
    </row>
    <row r="20" spans="1:15" x14ac:dyDescent="0.3">
      <c r="A20" t="s">
        <v>25</v>
      </c>
      <c r="B20" t="s">
        <v>140</v>
      </c>
      <c r="C20" t="s">
        <v>130</v>
      </c>
      <c r="D20" t="s">
        <v>120</v>
      </c>
      <c r="E20" t="s">
        <v>97</v>
      </c>
      <c r="F20">
        <v>1</v>
      </c>
      <c r="G20">
        <v>0</v>
      </c>
      <c r="H20" s="4">
        <v>0</v>
      </c>
      <c r="I20" s="4">
        <v>0</v>
      </c>
      <c r="J20" s="4">
        <v>20.309999999999999</v>
      </c>
      <c r="K20" s="4">
        <v>20</v>
      </c>
      <c r="L20" s="4">
        <v>100</v>
      </c>
      <c r="M20">
        <f>61.2+9.9</f>
        <v>71.100000000000009</v>
      </c>
      <c r="N20">
        <f t="shared" si="0"/>
        <v>18.499999999999986</v>
      </c>
      <c r="O20">
        <f>2.6+7.8</f>
        <v>10.4</v>
      </c>
    </row>
    <row r="21" spans="1:15" x14ac:dyDescent="0.3">
      <c r="A21" t="s">
        <v>25</v>
      </c>
      <c r="B21" t="s">
        <v>140</v>
      </c>
      <c r="C21" t="s">
        <v>131</v>
      </c>
      <c r="D21" t="s">
        <v>120</v>
      </c>
      <c r="E21" t="s">
        <v>97</v>
      </c>
      <c r="F21">
        <v>1</v>
      </c>
      <c r="G21">
        <v>0</v>
      </c>
      <c r="H21" s="4">
        <v>0</v>
      </c>
      <c r="I21" s="4">
        <v>0</v>
      </c>
      <c r="J21" s="4">
        <v>26.02</v>
      </c>
      <c r="K21" s="4">
        <v>60</v>
      </c>
      <c r="L21" s="4">
        <v>100</v>
      </c>
      <c r="M21">
        <f>56.8+8</f>
        <v>64.8</v>
      </c>
      <c r="N21">
        <f t="shared" si="0"/>
        <v>22.100000000000009</v>
      </c>
      <c r="O21">
        <f>3.6+9.5</f>
        <v>13.1</v>
      </c>
    </row>
    <row r="22" spans="1:15" x14ac:dyDescent="0.3">
      <c r="A22" t="s">
        <v>34</v>
      </c>
      <c r="B22" t="s">
        <v>140</v>
      </c>
      <c r="C22" t="s">
        <v>132</v>
      </c>
      <c r="D22" t="s">
        <v>120</v>
      </c>
      <c r="E22" t="s">
        <v>97</v>
      </c>
      <c r="F22">
        <v>1</v>
      </c>
      <c r="G22">
        <v>0</v>
      </c>
      <c r="H22" s="4">
        <v>0</v>
      </c>
      <c r="I22" s="4">
        <v>0</v>
      </c>
      <c r="J22" s="4">
        <v>31.66</v>
      </c>
      <c r="K22" s="4">
        <v>78.569999999999993</v>
      </c>
      <c r="L22" s="4">
        <v>100</v>
      </c>
      <c r="M22">
        <f>50.8+7.6</f>
        <v>58.4</v>
      </c>
      <c r="N22">
        <f t="shared" si="0"/>
        <v>23.599999999999994</v>
      </c>
      <c r="O22">
        <f>4.1+13.9</f>
        <v>18</v>
      </c>
    </row>
    <row r="23" spans="1:15" x14ac:dyDescent="0.3">
      <c r="A23" t="s">
        <v>34</v>
      </c>
      <c r="B23" t="s">
        <v>140</v>
      </c>
      <c r="C23" t="s">
        <v>133</v>
      </c>
      <c r="D23" t="s">
        <v>120</v>
      </c>
      <c r="E23" t="s">
        <v>97</v>
      </c>
      <c r="F23">
        <v>1</v>
      </c>
      <c r="G23">
        <v>0</v>
      </c>
      <c r="H23" s="4">
        <v>0</v>
      </c>
      <c r="I23" s="4">
        <v>12.5</v>
      </c>
      <c r="J23" s="4">
        <v>39.22</v>
      </c>
      <c r="K23" s="4">
        <v>90</v>
      </c>
      <c r="L23" s="4">
        <v>100</v>
      </c>
      <c r="M23">
        <f>42.7+7.2</f>
        <v>49.900000000000006</v>
      </c>
      <c r="N23">
        <f t="shared" si="0"/>
        <v>27.799999999999997</v>
      </c>
      <c r="O23">
        <f>5.1+17.2</f>
        <v>22.299999999999997</v>
      </c>
    </row>
    <row r="24" spans="1:15" x14ac:dyDescent="0.3">
      <c r="A24" t="s">
        <v>34</v>
      </c>
      <c r="B24" t="s">
        <v>140</v>
      </c>
      <c r="C24" t="s">
        <v>134</v>
      </c>
      <c r="D24" t="s">
        <v>120</v>
      </c>
      <c r="E24" t="s">
        <v>97</v>
      </c>
      <c r="F24">
        <v>1</v>
      </c>
      <c r="G24">
        <v>0</v>
      </c>
      <c r="H24" s="4">
        <v>0</v>
      </c>
      <c r="I24" s="4">
        <v>0</v>
      </c>
      <c r="J24" s="4">
        <v>27.2</v>
      </c>
      <c r="K24" s="4">
        <v>63.16</v>
      </c>
      <c r="L24" s="4">
        <v>100</v>
      </c>
      <c r="M24">
        <f>54+8.5</f>
        <v>62.5</v>
      </c>
      <c r="N24">
        <f t="shared" si="0"/>
        <v>24.200000000000003</v>
      </c>
      <c r="O24">
        <f>3.9+9.4</f>
        <v>13.3</v>
      </c>
    </row>
    <row r="25" spans="1:15" x14ac:dyDescent="0.3">
      <c r="A25" t="s">
        <v>34</v>
      </c>
      <c r="B25" t="s">
        <v>140</v>
      </c>
      <c r="C25" t="s">
        <v>135</v>
      </c>
      <c r="D25" t="s">
        <v>120</v>
      </c>
      <c r="E25" t="s">
        <v>97</v>
      </c>
      <c r="F25">
        <v>1</v>
      </c>
      <c r="G25">
        <v>0</v>
      </c>
      <c r="H25" s="4">
        <v>0</v>
      </c>
      <c r="I25" s="4">
        <v>0</v>
      </c>
      <c r="J25" s="4">
        <v>24.95</v>
      </c>
      <c r="K25" s="4">
        <v>50</v>
      </c>
      <c r="L25" s="4">
        <v>100</v>
      </c>
      <c r="M25">
        <f>57.3+8.1</f>
        <v>65.399999999999991</v>
      </c>
      <c r="N25">
        <f t="shared" si="0"/>
        <v>22.000000000000014</v>
      </c>
      <c r="O25">
        <f>3.1+9.5</f>
        <v>12.6</v>
      </c>
    </row>
    <row r="26" spans="1:15" x14ac:dyDescent="0.3">
      <c r="A26" t="s">
        <v>10</v>
      </c>
      <c r="B26" t="s">
        <v>43</v>
      </c>
      <c r="C26" t="s">
        <v>157</v>
      </c>
      <c r="D26" t="s">
        <v>120</v>
      </c>
      <c r="E26" t="s">
        <v>97</v>
      </c>
      <c r="F26">
        <v>2</v>
      </c>
      <c r="G26">
        <v>0</v>
      </c>
      <c r="H26" s="4">
        <v>9.0909999999999993</v>
      </c>
      <c r="I26" s="4">
        <v>81.817999999999998</v>
      </c>
      <c r="J26" s="4">
        <v>61.381</v>
      </c>
      <c r="K26" s="4">
        <v>93.75</v>
      </c>
      <c r="L26" s="4">
        <v>100</v>
      </c>
      <c r="M26">
        <f>21.2+5.2</f>
        <v>26.4</v>
      </c>
      <c r="N26">
        <f t="shared" si="0"/>
        <v>37.200000000000003</v>
      </c>
      <c r="O26">
        <f>13.7+22.7</f>
        <v>36.4</v>
      </c>
    </row>
    <row r="27" spans="1:15" x14ac:dyDescent="0.3">
      <c r="A27" t="s">
        <v>10</v>
      </c>
      <c r="B27" t="s">
        <v>43</v>
      </c>
      <c r="C27" t="s">
        <v>158</v>
      </c>
      <c r="D27" t="s">
        <v>120</v>
      </c>
      <c r="E27" t="s">
        <v>97</v>
      </c>
      <c r="F27">
        <v>2</v>
      </c>
      <c r="G27">
        <v>0</v>
      </c>
      <c r="H27" s="4">
        <v>0</v>
      </c>
      <c r="I27" s="4">
        <v>69.23</v>
      </c>
      <c r="J27" s="4">
        <v>51.81</v>
      </c>
      <c r="K27" s="4">
        <v>90.91</v>
      </c>
      <c r="L27" s="4">
        <v>100</v>
      </c>
      <c r="M27">
        <f>28.9+6.5</f>
        <v>35.4</v>
      </c>
      <c r="N27">
        <f t="shared" si="0"/>
        <v>37.300000000000004</v>
      </c>
      <c r="O27">
        <f>10.6+16.7</f>
        <v>27.299999999999997</v>
      </c>
    </row>
    <row r="28" spans="1:15" x14ac:dyDescent="0.3">
      <c r="A28" t="s">
        <v>10</v>
      </c>
      <c r="B28" t="s">
        <v>43</v>
      </c>
      <c r="C28" t="s">
        <v>159</v>
      </c>
      <c r="D28" t="s">
        <v>120</v>
      </c>
      <c r="E28" t="s">
        <v>97</v>
      </c>
      <c r="F28">
        <v>2</v>
      </c>
      <c r="G28">
        <v>0</v>
      </c>
      <c r="H28" s="4">
        <v>0</v>
      </c>
      <c r="I28" s="4">
        <v>63.64</v>
      </c>
      <c r="J28" s="4">
        <v>49.71</v>
      </c>
      <c r="K28" s="4">
        <v>91.38</v>
      </c>
      <c r="L28" s="4">
        <v>100</v>
      </c>
      <c r="M28">
        <f>31.9+6.4</f>
        <v>38.299999999999997</v>
      </c>
      <c r="N28">
        <f t="shared" si="0"/>
        <v>34</v>
      </c>
      <c r="O28">
        <f>10.4+17.3</f>
        <v>27.700000000000003</v>
      </c>
    </row>
    <row r="29" spans="1:15" x14ac:dyDescent="0.3">
      <c r="A29" t="s">
        <v>15</v>
      </c>
      <c r="B29" t="s">
        <v>43</v>
      </c>
      <c r="C29" t="s">
        <v>162</v>
      </c>
      <c r="D29" t="s">
        <v>120</v>
      </c>
      <c r="E29" t="s">
        <v>97</v>
      </c>
      <c r="F29">
        <v>2</v>
      </c>
      <c r="G29">
        <v>0</v>
      </c>
      <c r="H29" s="4">
        <v>2.778</v>
      </c>
      <c r="I29" s="4">
        <v>63.636000000000003</v>
      </c>
      <c r="J29" s="4">
        <v>50.454000000000001</v>
      </c>
      <c r="K29" s="4">
        <v>86.956999999999994</v>
      </c>
      <c r="L29" s="4">
        <v>100</v>
      </c>
      <c r="M29">
        <f>28.4+4.5</f>
        <v>32.9</v>
      </c>
      <c r="N29">
        <f t="shared" si="0"/>
        <v>47.1</v>
      </c>
      <c r="O29">
        <f>9.1+10.9</f>
        <v>20</v>
      </c>
    </row>
    <row r="30" spans="1:15" x14ac:dyDescent="0.3">
      <c r="A30" t="s">
        <v>15</v>
      </c>
      <c r="B30" t="s">
        <v>43</v>
      </c>
      <c r="C30" t="s">
        <v>160</v>
      </c>
      <c r="D30" t="s">
        <v>120</v>
      </c>
      <c r="E30" t="s">
        <v>97</v>
      </c>
      <c r="F30">
        <v>2</v>
      </c>
      <c r="G30">
        <v>0</v>
      </c>
      <c r="H30" s="4">
        <v>2.5</v>
      </c>
      <c r="I30" s="4">
        <v>70</v>
      </c>
      <c r="J30" s="4">
        <v>52.64</v>
      </c>
      <c r="K30" s="4">
        <v>91.67</v>
      </c>
      <c r="L30" s="4">
        <v>100</v>
      </c>
      <c r="M30">
        <f>28.9+5.3</f>
        <v>34.199999999999996</v>
      </c>
      <c r="N30">
        <f t="shared" si="0"/>
        <v>36.800000000000004</v>
      </c>
      <c r="O30">
        <f>11.2+17.8</f>
        <v>29</v>
      </c>
    </row>
    <row r="31" spans="1:15" x14ac:dyDescent="0.3">
      <c r="A31" t="s">
        <v>15</v>
      </c>
      <c r="B31" t="s">
        <v>43</v>
      </c>
      <c r="C31" t="s">
        <v>161</v>
      </c>
      <c r="D31" t="s">
        <v>120</v>
      </c>
      <c r="E31" t="s">
        <v>97</v>
      </c>
      <c r="F31">
        <v>2</v>
      </c>
      <c r="G31">
        <v>0</v>
      </c>
      <c r="H31" s="4">
        <v>0</v>
      </c>
      <c r="I31" s="4">
        <v>64.709999999999994</v>
      </c>
      <c r="J31" s="4">
        <v>50.35</v>
      </c>
      <c r="K31" s="4">
        <v>90</v>
      </c>
      <c r="L31" s="4">
        <v>100</v>
      </c>
      <c r="M31">
        <f>29.7+5.3</f>
        <v>35</v>
      </c>
      <c r="N31">
        <f t="shared" si="0"/>
        <v>42.3</v>
      </c>
      <c r="O31">
        <f>9.9+12.8</f>
        <v>22.700000000000003</v>
      </c>
    </row>
    <row r="32" spans="1:15" x14ac:dyDescent="0.3">
      <c r="A32" t="s">
        <v>25</v>
      </c>
      <c r="B32" t="s">
        <v>43</v>
      </c>
      <c r="C32" t="s">
        <v>98</v>
      </c>
      <c r="D32" t="s">
        <v>120</v>
      </c>
      <c r="E32" t="s">
        <v>97</v>
      </c>
      <c r="F32">
        <v>1</v>
      </c>
      <c r="G32">
        <v>0</v>
      </c>
      <c r="H32" s="4">
        <v>0</v>
      </c>
      <c r="I32" s="4">
        <v>0</v>
      </c>
      <c r="J32" s="4">
        <v>21.36</v>
      </c>
      <c r="K32" s="4">
        <v>28.57</v>
      </c>
      <c r="L32" s="4">
        <v>100</v>
      </c>
      <c r="M32">
        <f>59.4+9.6</f>
        <v>69</v>
      </c>
      <c r="N32">
        <f t="shared" si="0"/>
        <v>21.5</v>
      </c>
      <c r="O32">
        <f>2.7+6.8</f>
        <v>9.5</v>
      </c>
    </row>
    <row r="33" spans="1:15" x14ac:dyDescent="0.3">
      <c r="A33" t="s">
        <v>25</v>
      </c>
      <c r="B33" t="s">
        <v>43</v>
      </c>
      <c r="C33" t="s">
        <v>101</v>
      </c>
      <c r="D33" t="s">
        <v>120</v>
      </c>
      <c r="E33" t="s">
        <v>97</v>
      </c>
      <c r="F33">
        <v>1</v>
      </c>
      <c r="G33">
        <v>0</v>
      </c>
      <c r="H33" s="4">
        <v>0</v>
      </c>
      <c r="I33" s="4">
        <v>6.6669999999999998</v>
      </c>
      <c r="J33" s="4">
        <v>31.251999999999999</v>
      </c>
      <c r="K33" s="4">
        <v>71.429000000000002</v>
      </c>
      <c r="L33" s="4">
        <v>100</v>
      </c>
      <c r="M33">
        <f>49.5+7.6</f>
        <v>57.1</v>
      </c>
      <c r="N33">
        <f t="shared" si="0"/>
        <v>28.299999999999997</v>
      </c>
      <c r="O33">
        <f>3.9+10.7</f>
        <v>14.6</v>
      </c>
    </row>
    <row r="34" spans="1:15" x14ac:dyDescent="0.3">
      <c r="A34" t="s">
        <v>25</v>
      </c>
      <c r="B34" t="s">
        <v>43</v>
      </c>
      <c r="C34" t="s">
        <v>102</v>
      </c>
      <c r="D34" t="s">
        <v>120</v>
      </c>
      <c r="E34" t="s">
        <v>97</v>
      </c>
      <c r="F34">
        <v>1</v>
      </c>
      <c r="G34">
        <v>0</v>
      </c>
      <c r="H34" s="4">
        <v>0</v>
      </c>
      <c r="I34" s="4">
        <v>0</v>
      </c>
      <c r="J34" s="4">
        <v>29.21</v>
      </c>
      <c r="K34" s="4">
        <v>69.23</v>
      </c>
      <c r="L34" s="4">
        <v>100</v>
      </c>
      <c r="M34">
        <f>51+8.6</f>
        <v>59.6</v>
      </c>
      <c r="N34">
        <f t="shared" si="0"/>
        <v>27.400000000000006</v>
      </c>
      <c r="O34">
        <f>4.2+8.8</f>
        <v>13</v>
      </c>
    </row>
    <row r="35" spans="1:15" x14ac:dyDescent="0.3">
      <c r="A35" t="s">
        <v>25</v>
      </c>
      <c r="B35" t="s">
        <v>43</v>
      </c>
      <c r="C35" t="s">
        <v>103</v>
      </c>
      <c r="D35" t="s">
        <v>120</v>
      </c>
      <c r="E35" t="s">
        <v>97</v>
      </c>
      <c r="F35">
        <v>1</v>
      </c>
      <c r="G35">
        <v>0</v>
      </c>
      <c r="H35" s="4">
        <v>0</v>
      </c>
      <c r="I35" s="4">
        <v>0</v>
      </c>
      <c r="J35" s="4">
        <v>19.82</v>
      </c>
      <c r="K35" s="4">
        <v>20</v>
      </c>
      <c r="L35" s="4">
        <v>100</v>
      </c>
      <c r="M35">
        <f>62.1+9.4</f>
        <v>71.5</v>
      </c>
      <c r="N35">
        <f t="shared" si="0"/>
        <v>19.599999999999994</v>
      </c>
      <c r="O35">
        <f>2.7+6.2</f>
        <v>8.9</v>
      </c>
    </row>
    <row r="36" spans="1:15" x14ac:dyDescent="0.3">
      <c r="A36" t="s">
        <v>34</v>
      </c>
      <c r="B36" t="s">
        <v>43</v>
      </c>
      <c r="C36" t="s">
        <v>104</v>
      </c>
      <c r="D36" t="s">
        <v>120</v>
      </c>
      <c r="E36" t="s">
        <v>97</v>
      </c>
      <c r="F36">
        <v>1</v>
      </c>
      <c r="G36">
        <v>0</v>
      </c>
      <c r="H36" s="4">
        <v>0</v>
      </c>
      <c r="I36" s="4">
        <v>14.29</v>
      </c>
      <c r="J36" s="4">
        <v>39.11</v>
      </c>
      <c r="K36" s="4">
        <v>86.21</v>
      </c>
      <c r="L36" s="4">
        <v>100</v>
      </c>
      <c r="M36">
        <f>43.3+6.4</f>
        <v>49.699999999999996</v>
      </c>
      <c r="N36">
        <f t="shared" si="0"/>
        <v>29.400000000000006</v>
      </c>
      <c r="O36">
        <f>4.7+16.2</f>
        <v>20.9</v>
      </c>
    </row>
    <row r="37" spans="1:15" x14ac:dyDescent="0.3">
      <c r="A37" t="s">
        <v>34</v>
      </c>
      <c r="B37" t="s">
        <v>43</v>
      </c>
      <c r="C37" t="s">
        <v>105</v>
      </c>
      <c r="D37" t="s">
        <v>120</v>
      </c>
      <c r="E37" t="s">
        <v>97</v>
      </c>
      <c r="F37">
        <v>1</v>
      </c>
      <c r="G37">
        <v>0</v>
      </c>
      <c r="H37" s="4">
        <v>0</v>
      </c>
      <c r="I37" s="4">
        <v>62.5</v>
      </c>
      <c r="J37" s="4">
        <v>50.97</v>
      </c>
      <c r="K37" s="4">
        <v>91.67</v>
      </c>
      <c r="L37" s="4">
        <v>100</v>
      </c>
      <c r="M37">
        <f>31.6+4.7</f>
        <v>36.300000000000004</v>
      </c>
      <c r="N37">
        <f t="shared" si="0"/>
        <v>34.900000000000006</v>
      </c>
      <c r="O37">
        <f>6.1+22.7</f>
        <v>28.799999999999997</v>
      </c>
    </row>
    <row r="38" spans="1:15" x14ac:dyDescent="0.3">
      <c r="A38" t="s">
        <v>34</v>
      </c>
      <c r="B38" t="s">
        <v>43</v>
      </c>
      <c r="C38" t="s">
        <v>106</v>
      </c>
      <c r="D38" t="s">
        <v>120</v>
      </c>
      <c r="E38" t="s">
        <v>97</v>
      </c>
      <c r="F38">
        <v>1</v>
      </c>
      <c r="G38">
        <v>0</v>
      </c>
      <c r="H38" s="4">
        <v>0</v>
      </c>
      <c r="I38" s="4">
        <v>5.8819999999999997</v>
      </c>
      <c r="J38" s="4">
        <v>32.042000000000002</v>
      </c>
      <c r="K38" s="4">
        <v>76.923000000000002</v>
      </c>
      <c r="L38" s="4">
        <v>100</v>
      </c>
      <c r="M38">
        <f>49.8+7.6</f>
        <v>57.4</v>
      </c>
      <c r="N38">
        <f t="shared" si="0"/>
        <v>25.5</v>
      </c>
      <c r="O38">
        <f>3.9+13.2</f>
        <v>17.099999999999998</v>
      </c>
    </row>
    <row r="39" spans="1:15" x14ac:dyDescent="0.3">
      <c r="A39" t="s">
        <v>34</v>
      </c>
      <c r="B39" t="s">
        <v>43</v>
      </c>
      <c r="C39" t="s">
        <v>107</v>
      </c>
      <c r="D39" t="s">
        <v>120</v>
      </c>
      <c r="E39" t="s">
        <v>97</v>
      </c>
      <c r="F39">
        <v>1</v>
      </c>
      <c r="G39">
        <v>0</v>
      </c>
      <c r="H39" s="4">
        <v>0</v>
      </c>
      <c r="I39" s="4">
        <v>0</v>
      </c>
      <c r="J39" s="4">
        <v>22.91</v>
      </c>
      <c r="K39" s="4">
        <v>38.46</v>
      </c>
      <c r="L39" s="4">
        <v>100</v>
      </c>
      <c r="M39">
        <f>58.2+9.6</f>
        <v>67.8</v>
      </c>
      <c r="N39">
        <f t="shared" si="0"/>
        <v>21.200000000000003</v>
      </c>
      <c r="O39">
        <f>2.9+8.1</f>
        <v>11</v>
      </c>
    </row>
    <row r="40" spans="1:15" x14ac:dyDescent="0.3">
      <c r="A40" t="s">
        <v>25</v>
      </c>
      <c r="B40" t="s">
        <v>140</v>
      </c>
      <c r="C40" t="s">
        <v>136</v>
      </c>
      <c r="D40" t="s">
        <v>147</v>
      </c>
      <c r="E40" t="s">
        <v>88</v>
      </c>
      <c r="F40">
        <v>1</v>
      </c>
      <c r="G40">
        <v>0</v>
      </c>
      <c r="H40" s="4">
        <v>70</v>
      </c>
      <c r="I40" s="4">
        <v>90</v>
      </c>
      <c r="J40" s="4">
        <v>78.599999999999994</v>
      </c>
      <c r="K40" s="4">
        <v>100</v>
      </c>
      <c r="L40" s="4">
        <v>100</v>
      </c>
      <c r="M40">
        <f>3.3+1.1</f>
        <v>4.4000000000000004</v>
      </c>
      <c r="N40">
        <f t="shared" si="0"/>
        <v>51.1</v>
      </c>
      <c r="O40">
        <f>11.5+33</f>
        <v>44.5</v>
      </c>
    </row>
    <row r="41" spans="1:15" x14ac:dyDescent="0.3">
      <c r="A41" t="s">
        <v>25</v>
      </c>
      <c r="B41" t="s">
        <v>140</v>
      </c>
      <c r="C41" t="s">
        <v>137</v>
      </c>
      <c r="D41" t="s">
        <v>147</v>
      </c>
      <c r="E41" t="s">
        <v>88</v>
      </c>
      <c r="F41">
        <v>1</v>
      </c>
      <c r="G41">
        <v>0</v>
      </c>
      <c r="H41" s="4">
        <v>75</v>
      </c>
      <c r="I41" s="4">
        <v>90.91</v>
      </c>
      <c r="J41" s="4">
        <v>82.32</v>
      </c>
      <c r="K41" s="4">
        <v>100</v>
      </c>
      <c r="L41" s="4">
        <v>100</v>
      </c>
      <c r="M41">
        <f>3+0.8</f>
        <v>3.8</v>
      </c>
      <c r="N41">
        <f t="shared" si="0"/>
        <v>42.900000000000006</v>
      </c>
      <c r="O41">
        <f>12.3+41</f>
        <v>53.3</v>
      </c>
    </row>
    <row r="42" spans="1:15" x14ac:dyDescent="0.3">
      <c r="A42" t="s">
        <v>34</v>
      </c>
      <c r="B42" t="s">
        <v>140</v>
      </c>
      <c r="C42" t="s">
        <v>138</v>
      </c>
      <c r="D42" t="s">
        <v>147</v>
      </c>
      <c r="E42" t="s">
        <v>88</v>
      </c>
      <c r="F42">
        <v>1</v>
      </c>
      <c r="G42">
        <v>0</v>
      </c>
      <c r="H42" s="4">
        <v>72.73</v>
      </c>
      <c r="I42" s="4">
        <v>90.91</v>
      </c>
      <c r="J42" s="4">
        <v>81.06</v>
      </c>
      <c r="K42" s="4">
        <v>100</v>
      </c>
      <c r="L42" s="4">
        <v>100</v>
      </c>
      <c r="M42">
        <f>3.3+1</f>
        <v>4.3</v>
      </c>
      <c r="N42">
        <f t="shared" si="0"/>
        <v>45.1</v>
      </c>
      <c r="O42">
        <f>12+38.6</f>
        <v>50.6</v>
      </c>
    </row>
    <row r="43" spans="1:15" x14ac:dyDescent="0.3">
      <c r="A43" t="s">
        <v>34</v>
      </c>
      <c r="B43" t="s">
        <v>140</v>
      </c>
      <c r="C43" t="s">
        <v>139</v>
      </c>
      <c r="D43" t="s">
        <v>147</v>
      </c>
      <c r="E43" t="s">
        <v>88</v>
      </c>
      <c r="F43">
        <v>1</v>
      </c>
      <c r="G43">
        <v>0</v>
      </c>
      <c r="H43" s="4">
        <v>72.73</v>
      </c>
      <c r="I43" s="4">
        <v>90.91</v>
      </c>
      <c r="J43" s="4">
        <v>81.010000000000005</v>
      </c>
      <c r="K43" s="4">
        <v>100</v>
      </c>
      <c r="L43" s="4">
        <v>100</v>
      </c>
      <c r="M43">
        <f>3.4+1</f>
        <v>4.4000000000000004</v>
      </c>
      <c r="N43">
        <f t="shared" si="0"/>
        <v>44.6</v>
      </c>
      <c r="O43">
        <f>11.5+39.5</f>
        <v>51</v>
      </c>
    </row>
    <row r="44" spans="1:15" x14ac:dyDescent="0.3">
      <c r="A44" t="s">
        <v>20</v>
      </c>
      <c r="B44" t="s">
        <v>140</v>
      </c>
      <c r="C44" t="s">
        <v>122</v>
      </c>
      <c r="D44" t="s">
        <v>120</v>
      </c>
      <c r="E44" t="s">
        <v>88</v>
      </c>
      <c r="F44">
        <v>1</v>
      </c>
      <c r="G44">
        <v>0</v>
      </c>
      <c r="H44" s="4">
        <v>100</v>
      </c>
      <c r="I44" s="4">
        <v>100</v>
      </c>
      <c r="J44" s="4">
        <v>93.2</v>
      </c>
      <c r="K44" s="4">
        <v>100</v>
      </c>
      <c r="L44" s="4">
        <v>100</v>
      </c>
      <c r="M44" s="4">
        <v>3.7</v>
      </c>
      <c r="N44">
        <f t="shared" si="0"/>
        <v>9.2000000000000028</v>
      </c>
      <c r="O44" s="4">
        <v>87.1</v>
      </c>
    </row>
    <row r="45" spans="1:15" x14ac:dyDescent="0.3">
      <c r="A45" t="s">
        <v>20</v>
      </c>
      <c r="B45" t="s">
        <v>140</v>
      </c>
      <c r="C45" t="s">
        <v>123</v>
      </c>
      <c r="D45" t="s">
        <v>120</v>
      </c>
      <c r="E45" t="s">
        <v>88</v>
      </c>
      <c r="F45">
        <v>1</v>
      </c>
      <c r="G45">
        <v>0</v>
      </c>
      <c r="H45" s="4">
        <v>100</v>
      </c>
      <c r="I45" s="4">
        <v>100</v>
      </c>
      <c r="J45" s="4">
        <v>93.58</v>
      </c>
      <c r="K45" s="4">
        <v>100</v>
      </c>
      <c r="L45" s="4">
        <v>100</v>
      </c>
      <c r="M45">
        <f>2.7+0.9</f>
        <v>3.6</v>
      </c>
      <c r="N45">
        <f t="shared" si="0"/>
        <v>8.8000000000000114</v>
      </c>
      <c r="O45">
        <f>3.6+84</f>
        <v>87.6</v>
      </c>
    </row>
    <row r="46" spans="1:15" x14ac:dyDescent="0.3">
      <c r="A46" t="s">
        <v>20</v>
      </c>
      <c r="B46" t="s">
        <v>140</v>
      </c>
      <c r="C46" t="s">
        <v>155</v>
      </c>
      <c r="D46" t="s">
        <v>120</v>
      </c>
      <c r="E46" t="s">
        <v>88</v>
      </c>
      <c r="F46">
        <v>2</v>
      </c>
      <c r="G46">
        <v>0</v>
      </c>
      <c r="H46" s="4">
        <v>100</v>
      </c>
      <c r="I46" s="4">
        <v>100</v>
      </c>
      <c r="J46" s="4">
        <v>95.15</v>
      </c>
      <c r="K46" s="4">
        <v>100</v>
      </c>
      <c r="L46" s="4">
        <v>100</v>
      </c>
      <c r="M46">
        <f>0.5+0.2</f>
        <v>0.7</v>
      </c>
      <c r="N46">
        <f t="shared" si="0"/>
        <v>13.199999999999989</v>
      </c>
      <c r="O46">
        <f>5.7+80.4</f>
        <v>86.100000000000009</v>
      </c>
    </row>
    <row r="47" spans="1:15" x14ac:dyDescent="0.3">
      <c r="A47" t="s">
        <v>20</v>
      </c>
      <c r="B47" t="s">
        <v>140</v>
      </c>
      <c r="C47" t="s">
        <v>156</v>
      </c>
      <c r="D47" t="s">
        <v>120</v>
      </c>
      <c r="E47" t="s">
        <v>88</v>
      </c>
      <c r="F47">
        <v>2</v>
      </c>
      <c r="G47">
        <v>0</v>
      </c>
      <c r="H47" s="4">
        <v>100</v>
      </c>
      <c r="I47" s="4">
        <v>100</v>
      </c>
      <c r="J47" s="4">
        <v>95.28</v>
      </c>
      <c r="K47" s="4">
        <v>100</v>
      </c>
      <c r="L47" s="4">
        <v>100</v>
      </c>
      <c r="M47">
        <f>0.9+0.4</f>
        <v>1.3</v>
      </c>
      <c r="N47">
        <f t="shared" si="0"/>
        <v>11</v>
      </c>
      <c r="O47">
        <f>5.2+82.5</f>
        <v>87.7</v>
      </c>
    </row>
    <row r="48" spans="1:15" x14ac:dyDescent="0.3">
      <c r="A48" t="s">
        <v>15</v>
      </c>
      <c r="B48" t="s">
        <v>140</v>
      </c>
      <c r="C48" t="s">
        <v>124</v>
      </c>
      <c r="D48" t="s">
        <v>120</v>
      </c>
      <c r="E48" t="s">
        <v>88</v>
      </c>
      <c r="F48">
        <v>1</v>
      </c>
      <c r="G48">
        <v>0</v>
      </c>
      <c r="H48" s="4">
        <v>100</v>
      </c>
      <c r="I48" s="4">
        <v>100</v>
      </c>
      <c r="J48" s="4">
        <v>96.19</v>
      </c>
      <c r="K48" s="4">
        <v>100</v>
      </c>
      <c r="L48" s="4">
        <v>100</v>
      </c>
      <c r="M48">
        <f>1.5+0.3</f>
        <v>1.8</v>
      </c>
      <c r="N48">
        <f t="shared" si="0"/>
        <v>4</v>
      </c>
      <c r="O48">
        <f>3.5+90.7</f>
        <v>94.2</v>
      </c>
    </row>
    <row r="49" spans="1:15" x14ac:dyDescent="0.3">
      <c r="A49" t="s">
        <v>15</v>
      </c>
      <c r="B49" t="s">
        <v>140</v>
      </c>
      <c r="C49" t="s">
        <v>125</v>
      </c>
      <c r="D49" t="s">
        <v>120</v>
      </c>
      <c r="E49" t="s">
        <v>88</v>
      </c>
      <c r="F49">
        <v>1</v>
      </c>
      <c r="G49">
        <v>0</v>
      </c>
      <c r="H49" s="4">
        <v>100</v>
      </c>
      <c r="I49" s="4">
        <v>100</v>
      </c>
      <c r="J49" s="4">
        <v>96.59</v>
      </c>
      <c r="K49" s="4">
        <v>100</v>
      </c>
      <c r="L49" s="4">
        <v>100</v>
      </c>
      <c r="M49">
        <f>1+0.4</f>
        <v>1.4</v>
      </c>
      <c r="N49">
        <f t="shared" si="0"/>
        <v>6.2999999999999829</v>
      </c>
      <c r="O49">
        <f>3.4+88.9</f>
        <v>92.300000000000011</v>
      </c>
    </row>
    <row r="50" spans="1:15" x14ac:dyDescent="0.3">
      <c r="A50" t="s">
        <v>15</v>
      </c>
      <c r="B50" t="s">
        <v>140</v>
      </c>
      <c r="C50" t="s">
        <v>153</v>
      </c>
      <c r="D50" t="s">
        <v>120</v>
      </c>
      <c r="E50" t="s">
        <v>88</v>
      </c>
      <c r="F50">
        <v>2</v>
      </c>
      <c r="G50">
        <v>0</v>
      </c>
      <c r="H50" s="4">
        <v>100</v>
      </c>
      <c r="I50" s="4">
        <v>100</v>
      </c>
      <c r="J50" s="4">
        <v>95.21</v>
      </c>
      <c r="K50" s="4">
        <v>100</v>
      </c>
      <c r="L50" s="4">
        <v>100</v>
      </c>
      <c r="M50">
        <f>0.9+0.4</f>
        <v>1.3</v>
      </c>
      <c r="N50">
        <f t="shared" si="0"/>
        <v>11.200000000000003</v>
      </c>
      <c r="O50">
        <f>5.6+81.9</f>
        <v>87.5</v>
      </c>
    </row>
    <row r="51" spans="1:15" x14ac:dyDescent="0.3">
      <c r="A51" t="s">
        <v>15</v>
      </c>
      <c r="B51" t="s">
        <v>140</v>
      </c>
      <c r="C51" t="s">
        <v>154</v>
      </c>
      <c r="D51" t="s">
        <v>120</v>
      </c>
      <c r="E51" t="s">
        <v>88</v>
      </c>
      <c r="F51">
        <v>2</v>
      </c>
      <c r="G51">
        <v>0</v>
      </c>
      <c r="H51" s="4">
        <v>100</v>
      </c>
      <c r="I51" s="4">
        <v>100</v>
      </c>
      <c r="J51" s="4">
        <v>96.42</v>
      </c>
      <c r="K51" s="4">
        <v>100</v>
      </c>
      <c r="L51" s="4">
        <v>100</v>
      </c>
      <c r="M51">
        <f>0.5+0.3</f>
        <v>0.8</v>
      </c>
      <c r="N51">
        <f t="shared" si="0"/>
        <v>9.7000000000000028</v>
      </c>
      <c r="O51">
        <f>5.1+84.4</f>
        <v>89.5</v>
      </c>
    </row>
    <row r="52" spans="1:15" x14ac:dyDescent="0.3">
      <c r="A52" t="s">
        <v>10</v>
      </c>
      <c r="B52" t="s">
        <v>140</v>
      </c>
      <c r="C52" t="s">
        <v>126</v>
      </c>
      <c r="D52" t="s">
        <v>120</v>
      </c>
      <c r="E52" t="s">
        <v>88</v>
      </c>
      <c r="F52">
        <v>1</v>
      </c>
      <c r="G52">
        <v>0</v>
      </c>
      <c r="H52" s="4">
        <v>100</v>
      </c>
      <c r="I52" s="4">
        <v>100</v>
      </c>
      <c r="J52" s="4">
        <v>96.39</v>
      </c>
      <c r="K52" s="4">
        <v>100</v>
      </c>
      <c r="L52" s="4">
        <v>100</v>
      </c>
      <c r="M52">
        <f>1.1+0.4</f>
        <v>1.5</v>
      </c>
      <c r="N52">
        <f t="shared" si="0"/>
        <v>7.0999999999999943</v>
      </c>
      <c r="O52">
        <f>3.4+88</f>
        <v>91.4</v>
      </c>
    </row>
    <row r="53" spans="1:15" x14ac:dyDescent="0.3">
      <c r="A53" t="s">
        <v>10</v>
      </c>
      <c r="B53" t="s">
        <v>140</v>
      </c>
      <c r="C53" t="s">
        <v>127</v>
      </c>
      <c r="D53" t="s">
        <v>120</v>
      </c>
      <c r="E53" t="s">
        <v>88</v>
      </c>
      <c r="F53">
        <v>1</v>
      </c>
      <c r="G53">
        <v>0</v>
      </c>
      <c r="H53" s="4">
        <v>100</v>
      </c>
      <c r="I53" s="4">
        <v>100</v>
      </c>
      <c r="J53" s="4">
        <v>94.66</v>
      </c>
      <c r="K53" s="4">
        <v>100</v>
      </c>
      <c r="L53" s="4">
        <v>100</v>
      </c>
      <c r="M53">
        <f>1.9+0.8</f>
        <v>2.7</v>
      </c>
      <c r="N53">
        <f t="shared" si="0"/>
        <v>8.3999999999999915</v>
      </c>
      <c r="O53">
        <f>3.2+85.7</f>
        <v>88.9</v>
      </c>
    </row>
    <row r="54" spans="1:15" x14ac:dyDescent="0.3">
      <c r="A54" t="s">
        <v>10</v>
      </c>
      <c r="B54" t="s">
        <v>140</v>
      </c>
      <c r="C54" t="s">
        <v>152</v>
      </c>
      <c r="D54" t="s">
        <v>120</v>
      </c>
      <c r="E54" t="s">
        <v>88</v>
      </c>
      <c r="F54">
        <v>2</v>
      </c>
      <c r="G54">
        <v>0</v>
      </c>
      <c r="H54" s="4">
        <v>100</v>
      </c>
      <c r="I54" s="4">
        <v>100</v>
      </c>
      <c r="J54" s="4">
        <v>94.96</v>
      </c>
      <c r="K54" s="4">
        <v>100</v>
      </c>
      <c r="L54" s="4">
        <v>100</v>
      </c>
      <c r="M54">
        <f>1+0.4</f>
        <v>1.4</v>
      </c>
      <c r="N54">
        <f t="shared" si="0"/>
        <v>11.900000000000006</v>
      </c>
      <c r="O54">
        <f>5.6+81.1</f>
        <v>86.699999999999989</v>
      </c>
    </row>
    <row r="55" spans="1:15" x14ac:dyDescent="0.3">
      <c r="A55" t="s">
        <v>10</v>
      </c>
      <c r="B55" t="s">
        <v>140</v>
      </c>
      <c r="C55" t="s">
        <v>151</v>
      </c>
      <c r="D55" t="s">
        <v>120</v>
      </c>
      <c r="E55" t="s">
        <v>88</v>
      </c>
      <c r="F55">
        <v>2</v>
      </c>
      <c r="G55">
        <v>0</v>
      </c>
      <c r="H55" s="4">
        <v>100</v>
      </c>
      <c r="I55" s="4">
        <v>100</v>
      </c>
      <c r="J55" s="4">
        <v>94.66</v>
      </c>
      <c r="K55" s="4">
        <v>100</v>
      </c>
      <c r="L55" s="4">
        <v>100</v>
      </c>
      <c r="M55">
        <f>1.6+0.7</f>
        <v>2.2999999999999998</v>
      </c>
      <c r="N55">
        <f t="shared" si="0"/>
        <v>9.7000000000000028</v>
      </c>
      <c r="O55">
        <f>4.6+83.4</f>
        <v>88</v>
      </c>
    </row>
    <row r="56" spans="1:15" x14ac:dyDescent="0.3">
      <c r="A56" t="s">
        <v>25</v>
      </c>
      <c r="B56" t="s">
        <v>140</v>
      </c>
      <c r="C56" t="s">
        <v>128</v>
      </c>
      <c r="D56" t="s">
        <v>120</v>
      </c>
      <c r="E56" t="s">
        <v>88</v>
      </c>
      <c r="F56">
        <v>1</v>
      </c>
      <c r="G56">
        <v>0</v>
      </c>
      <c r="H56" s="4">
        <v>100</v>
      </c>
      <c r="I56" s="4">
        <v>100</v>
      </c>
      <c r="J56" s="4">
        <v>90.89</v>
      </c>
      <c r="K56" s="4">
        <v>100</v>
      </c>
      <c r="L56" s="4">
        <v>100</v>
      </c>
      <c r="M56">
        <f>3.6+1.2</f>
        <v>4.8</v>
      </c>
      <c r="N56">
        <f t="shared" si="0"/>
        <v>12.100000000000009</v>
      </c>
      <c r="O56">
        <f>3.6+79.5</f>
        <v>83.1</v>
      </c>
    </row>
    <row r="57" spans="1:15" x14ac:dyDescent="0.3">
      <c r="A57" t="s">
        <v>25</v>
      </c>
      <c r="B57" t="s">
        <v>140</v>
      </c>
      <c r="C57" t="s">
        <v>129</v>
      </c>
      <c r="D57" t="s">
        <v>120</v>
      </c>
      <c r="E57" t="s">
        <v>88</v>
      </c>
      <c r="F57">
        <v>1</v>
      </c>
      <c r="G57">
        <v>0</v>
      </c>
      <c r="H57" s="4">
        <v>100</v>
      </c>
      <c r="I57" s="4">
        <v>100</v>
      </c>
      <c r="J57" s="4">
        <v>90.56</v>
      </c>
      <c r="K57" s="4">
        <v>100</v>
      </c>
      <c r="L57" s="4">
        <v>100</v>
      </c>
      <c r="M57">
        <f>3.7+1.2</f>
        <v>4.9000000000000004</v>
      </c>
      <c r="N57">
        <f t="shared" si="0"/>
        <v>13.299999999999997</v>
      </c>
      <c r="O57">
        <f>3.3+78.5</f>
        <v>81.8</v>
      </c>
    </row>
    <row r="58" spans="1:15" x14ac:dyDescent="0.3">
      <c r="A58" t="s">
        <v>25</v>
      </c>
      <c r="B58" t="s">
        <v>140</v>
      </c>
      <c r="C58" t="s">
        <v>130</v>
      </c>
      <c r="D58" t="s">
        <v>120</v>
      </c>
      <c r="E58" t="s">
        <v>88</v>
      </c>
      <c r="F58">
        <v>1</v>
      </c>
      <c r="G58">
        <v>0</v>
      </c>
      <c r="H58" s="4">
        <v>100</v>
      </c>
      <c r="I58" s="4">
        <v>100</v>
      </c>
      <c r="J58" s="4">
        <v>90.92</v>
      </c>
      <c r="K58" s="4">
        <v>100</v>
      </c>
      <c r="L58" s="4">
        <v>100</v>
      </c>
      <c r="M58">
        <f>4.4+1.2</f>
        <v>5.6000000000000005</v>
      </c>
      <c r="N58">
        <f t="shared" si="0"/>
        <v>10.200000000000003</v>
      </c>
      <c r="O58">
        <f>2.9+81.3</f>
        <v>84.2</v>
      </c>
    </row>
    <row r="59" spans="1:15" x14ac:dyDescent="0.3">
      <c r="A59" t="s">
        <v>25</v>
      </c>
      <c r="B59" t="s">
        <v>140</v>
      </c>
      <c r="C59" t="s">
        <v>131</v>
      </c>
      <c r="D59" t="s">
        <v>120</v>
      </c>
      <c r="E59" t="s">
        <v>88</v>
      </c>
      <c r="F59">
        <v>1</v>
      </c>
      <c r="G59">
        <v>0</v>
      </c>
      <c r="H59" s="4">
        <v>100</v>
      </c>
      <c r="I59" s="4">
        <v>100</v>
      </c>
      <c r="J59" s="4">
        <v>92.45</v>
      </c>
      <c r="K59" s="4">
        <v>100</v>
      </c>
      <c r="L59" s="4">
        <v>100</v>
      </c>
      <c r="M59">
        <f>3.1+0.9</f>
        <v>4</v>
      </c>
      <c r="N59">
        <f t="shared" si="0"/>
        <v>11.200000000000003</v>
      </c>
      <c r="O59">
        <f>3.7+81.1</f>
        <v>84.8</v>
      </c>
    </row>
    <row r="60" spans="1:15" x14ac:dyDescent="0.3">
      <c r="A60" t="s">
        <v>34</v>
      </c>
      <c r="B60" t="s">
        <v>140</v>
      </c>
      <c r="C60" t="s">
        <v>132</v>
      </c>
      <c r="D60" t="s">
        <v>120</v>
      </c>
      <c r="E60" t="s">
        <v>88</v>
      </c>
      <c r="F60">
        <v>1</v>
      </c>
      <c r="G60">
        <v>0</v>
      </c>
      <c r="H60" s="4">
        <v>100</v>
      </c>
      <c r="I60" s="4">
        <v>100</v>
      </c>
      <c r="J60" s="4">
        <v>93.68</v>
      </c>
      <c r="K60" s="4">
        <v>100</v>
      </c>
      <c r="L60" s="4">
        <v>100</v>
      </c>
      <c r="M60" s="4">
        <f>2.3+0.7</f>
        <v>3</v>
      </c>
      <c r="N60">
        <f t="shared" si="0"/>
        <v>10</v>
      </c>
      <c r="O60" s="4">
        <f>83.3+3.7</f>
        <v>87</v>
      </c>
    </row>
    <row r="61" spans="1:15" x14ac:dyDescent="0.3">
      <c r="A61" t="s">
        <v>34</v>
      </c>
      <c r="B61" t="s">
        <v>140</v>
      </c>
      <c r="C61" t="s">
        <v>133</v>
      </c>
      <c r="D61" t="s">
        <v>120</v>
      </c>
      <c r="E61" t="s">
        <v>88</v>
      </c>
      <c r="F61">
        <v>1</v>
      </c>
      <c r="G61">
        <v>0</v>
      </c>
      <c r="H61" s="4">
        <v>100</v>
      </c>
      <c r="I61" s="4">
        <v>100</v>
      </c>
      <c r="J61" s="4">
        <v>94.47</v>
      </c>
      <c r="K61" s="4">
        <v>100</v>
      </c>
      <c r="L61" s="4">
        <v>100</v>
      </c>
      <c r="M61">
        <v>2.4</v>
      </c>
      <c r="N61">
        <f t="shared" si="0"/>
        <v>9.7999999999999972</v>
      </c>
      <c r="O61">
        <v>87.8</v>
      </c>
    </row>
    <row r="62" spans="1:15" x14ac:dyDescent="0.3">
      <c r="A62" t="s">
        <v>34</v>
      </c>
      <c r="B62" t="s">
        <v>140</v>
      </c>
      <c r="C62" t="s">
        <v>134</v>
      </c>
      <c r="D62" t="s">
        <v>120</v>
      </c>
      <c r="E62" t="s">
        <v>88</v>
      </c>
      <c r="F62">
        <v>1</v>
      </c>
      <c r="G62">
        <v>0</v>
      </c>
      <c r="H62" s="4">
        <v>100</v>
      </c>
      <c r="I62" s="4">
        <v>100</v>
      </c>
      <c r="J62" s="4">
        <v>92.12</v>
      </c>
      <c r="K62" s="4">
        <v>100</v>
      </c>
      <c r="L62" s="4">
        <v>100</v>
      </c>
      <c r="M62">
        <f>2.9+1</f>
        <v>3.9</v>
      </c>
      <c r="N62">
        <f t="shared" si="0"/>
        <v>11.700000000000003</v>
      </c>
      <c r="O62">
        <f>3.6+80.8</f>
        <v>84.399999999999991</v>
      </c>
    </row>
    <row r="63" spans="1:15" x14ac:dyDescent="0.3">
      <c r="A63" t="s">
        <v>34</v>
      </c>
      <c r="B63" t="s">
        <v>140</v>
      </c>
      <c r="C63" t="s">
        <v>135</v>
      </c>
      <c r="D63" t="s">
        <v>120</v>
      </c>
      <c r="E63" t="s">
        <v>88</v>
      </c>
      <c r="F63">
        <v>1</v>
      </c>
      <c r="G63">
        <v>0</v>
      </c>
      <c r="H63" s="4">
        <v>100</v>
      </c>
      <c r="I63" s="4">
        <v>100</v>
      </c>
      <c r="J63" s="4">
        <v>91.17</v>
      </c>
      <c r="K63" s="4">
        <v>100</v>
      </c>
      <c r="L63" s="4">
        <v>100</v>
      </c>
      <c r="M63" s="4">
        <f>4.1+1.1</f>
        <v>5.1999999999999993</v>
      </c>
      <c r="N63">
        <f t="shared" si="0"/>
        <v>11.099999999999994</v>
      </c>
      <c r="O63" s="4">
        <f>3.8+79.9</f>
        <v>83.7</v>
      </c>
    </row>
    <row r="64" spans="1:15" x14ac:dyDescent="0.3">
      <c r="A64" t="s">
        <v>10</v>
      </c>
      <c r="B64" t="s">
        <v>43</v>
      </c>
      <c r="C64" t="s">
        <v>157</v>
      </c>
      <c r="D64" t="s">
        <v>120</v>
      </c>
      <c r="E64" t="s">
        <v>88</v>
      </c>
      <c r="F64">
        <v>2</v>
      </c>
      <c r="G64">
        <v>0</v>
      </c>
      <c r="H64" s="4">
        <v>100</v>
      </c>
      <c r="I64" s="4">
        <v>100</v>
      </c>
      <c r="J64" s="4">
        <v>97.02</v>
      </c>
      <c r="K64" s="4">
        <v>100</v>
      </c>
      <c r="L64" s="4">
        <v>100</v>
      </c>
      <c r="M64">
        <f>0.5+0.2</f>
        <v>0.7</v>
      </c>
      <c r="N64">
        <f t="shared" si="0"/>
        <v>7.8999999999999915</v>
      </c>
      <c r="O64">
        <f>4.7+86.7</f>
        <v>91.4</v>
      </c>
    </row>
    <row r="65" spans="1:15" x14ac:dyDescent="0.3">
      <c r="A65" t="s">
        <v>10</v>
      </c>
      <c r="B65" t="s">
        <v>43</v>
      </c>
      <c r="C65" t="s">
        <v>158</v>
      </c>
      <c r="D65" t="s">
        <v>120</v>
      </c>
      <c r="E65" t="s">
        <v>88</v>
      </c>
      <c r="F65">
        <v>2</v>
      </c>
      <c r="G65">
        <v>0</v>
      </c>
      <c r="H65" s="4">
        <v>100</v>
      </c>
      <c r="I65" s="4">
        <v>100</v>
      </c>
      <c r="J65" s="4">
        <v>95.87</v>
      </c>
      <c r="K65" s="4">
        <v>100</v>
      </c>
      <c r="L65" s="4">
        <v>100</v>
      </c>
      <c r="M65">
        <f>0.8+0.4</f>
        <v>1.2000000000000002</v>
      </c>
      <c r="N65">
        <f t="shared" si="0"/>
        <v>9.7999999999999972</v>
      </c>
      <c r="O65">
        <f>4.4+84.6</f>
        <v>89</v>
      </c>
    </row>
    <row r="66" spans="1:15" x14ac:dyDescent="0.3">
      <c r="A66" t="s">
        <v>10</v>
      </c>
      <c r="B66" t="s">
        <v>43</v>
      </c>
      <c r="C66" t="s">
        <v>159</v>
      </c>
      <c r="D66" t="s">
        <v>120</v>
      </c>
      <c r="E66" t="s">
        <v>88</v>
      </c>
      <c r="F66">
        <v>2</v>
      </c>
      <c r="G66">
        <v>0</v>
      </c>
      <c r="H66" s="4">
        <v>100</v>
      </c>
      <c r="I66" s="4">
        <v>100</v>
      </c>
      <c r="J66" s="4">
        <v>95.45</v>
      </c>
      <c r="K66" s="4">
        <v>100</v>
      </c>
      <c r="L66" s="4">
        <v>100</v>
      </c>
      <c r="M66">
        <f>1+0.4</f>
        <v>1.4</v>
      </c>
      <c r="N66">
        <f t="shared" si="0"/>
        <v>10.299999999999997</v>
      </c>
      <c r="O66">
        <f>4.8+83.5</f>
        <v>88.3</v>
      </c>
    </row>
    <row r="67" spans="1:15" x14ac:dyDescent="0.3">
      <c r="A67" t="s">
        <v>15</v>
      </c>
      <c r="B67" t="s">
        <v>43</v>
      </c>
      <c r="C67" t="s">
        <v>162</v>
      </c>
      <c r="D67" t="s">
        <v>120</v>
      </c>
      <c r="E67" t="s">
        <v>88</v>
      </c>
      <c r="F67">
        <v>2</v>
      </c>
      <c r="G67">
        <v>0</v>
      </c>
      <c r="H67" s="4">
        <v>100</v>
      </c>
      <c r="I67" s="4">
        <v>100</v>
      </c>
      <c r="J67" s="4">
        <v>94.94</v>
      </c>
      <c r="K67" s="4">
        <v>100</v>
      </c>
      <c r="L67" s="4">
        <v>100</v>
      </c>
      <c r="M67">
        <f>0.7+0.3</f>
        <v>1</v>
      </c>
      <c r="N67">
        <f t="shared" ref="N67:N81" si="1">100-(M67+O67)</f>
        <v>12.799999999999997</v>
      </c>
      <c r="O67">
        <f>5.4+80.8</f>
        <v>86.2</v>
      </c>
    </row>
    <row r="68" spans="1:15" x14ac:dyDescent="0.3">
      <c r="A68" t="s">
        <v>15</v>
      </c>
      <c r="B68" t="s">
        <v>43</v>
      </c>
      <c r="C68" t="s">
        <v>160</v>
      </c>
      <c r="D68" t="s">
        <v>120</v>
      </c>
      <c r="E68" t="s">
        <v>88</v>
      </c>
      <c r="F68">
        <v>2</v>
      </c>
      <c r="G68">
        <v>0</v>
      </c>
      <c r="H68" s="4">
        <v>100</v>
      </c>
      <c r="I68" s="4">
        <v>100</v>
      </c>
      <c r="J68" s="4">
        <v>95.74</v>
      </c>
      <c r="K68" s="4">
        <v>100</v>
      </c>
      <c r="L68" s="4">
        <v>100</v>
      </c>
      <c r="M68">
        <f>0.7+0.3</f>
        <v>1</v>
      </c>
      <c r="N68">
        <f t="shared" si="1"/>
        <v>10.600000000000009</v>
      </c>
      <c r="O68">
        <f>5.6+82.8</f>
        <v>88.399999999999991</v>
      </c>
    </row>
    <row r="69" spans="1:15" x14ac:dyDescent="0.3">
      <c r="A69" t="s">
        <v>15</v>
      </c>
      <c r="B69" t="s">
        <v>43</v>
      </c>
      <c r="C69" t="s">
        <v>161</v>
      </c>
      <c r="D69" t="s">
        <v>120</v>
      </c>
      <c r="E69" t="s">
        <v>88</v>
      </c>
      <c r="F69">
        <v>2</v>
      </c>
      <c r="G69">
        <v>0</v>
      </c>
      <c r="H69" s="4">
        <v>100</v>
      </c>
      <c r="I69" s="4">
        <v>100</v>
      </c>
      <c r="J69" s="4">
        <v>95.15</v>
      </c>
      <c r="K69" s="4">
        <v>100</v>
      </c>
      <c r="L69" s="4">
        <v>100</v>
      </c>
      <c r="M69">
        <f>0.8+0.4</f>
        <v>1.2000000000000002</v>
      </c>
      <c r="N69">
        <f t="shared" si="1"/>
        <v>11.799999999999997</v>
      </c>
      <c r="O69">
        <f>5.5+81.5</f>
        <v>87</v>
      </c>
    </row>
    <row r="70" spans="1:15" x14ac:dyDescent="0.3">
      <c r="A70" t="s">
        <v>25</v>
      </c>
      <c r="B70" t="s">
        <v>43</v>
      </c>
      <c r="C70" t="s">
        <v>98</v>
      </c>
      <c r="D70" t="s">
        <v>120</v>
      </c>
      <c r="E70" t="s">
        <v>88</v>
      </c>
      <c r="F70">
        <v>1</v>
      </c>
      <c r="G70">
        <v>0</v>
      </c>
      <c r="H70" s="4">
        <v>100</v>
      </c>
      <c r="I70" s="4">
        <v>100</v>
      </c>
      <c r="J70" s="4">
        <v>91.56</v>
      </c>
      <c r="K70" s="4">
        <v>100</v>
      </c>
      <c r="L70" s="4">
        <v>100</v>
      </c>
      <c r="M70">
        <f>3.4+1.1</f>
        <v>4.5</v>
      </c>
      <c r="N70">
        <f t="shared" si="1"/>
        <v>11.099999999999994</v>
      </c>
      <c r="O70">
        <f>3.5+80.9</f>
        <v>84.4</v>
      </c>
    </row>
    <row r="71" spans="1:15" x14ac:dyDescent="0.3">
      <c r="A71" t="s">
        <v>25</v>
      </c>
      <c r="B71" t="s">
        <v>43</v>
      </c>
      <c r="C71" t="s">
        <v>101</v>
      </c>
      <c r="D71" t="s">
        <v>120</v>
      </c>
      <c r="E71" t="s">
        <v>88</v>
      </c>
      <c r="F71">
        <v>1</v>
      </c>
      <c r="G71">
        <v>0</v>
      </c>
      <c r="H71" s="4">
        <v>100</v>
      </c>
      <c r="I71" s="4">
        <v>100</v>
      </c>
      <c r="J71" s="4">
        <v>92.91</v>
      </c>
      <c r="K71" s="4">
        <v>100</v>
      </c>
      <c r="L71" s="4">
        <v>100</v>
      </c>
      <c r="M71" s="4">
        <v>2.9</v>
      </c>
      <c r="N71">
        <f t="shared" si="1"/>
        <v>12.399999999999991</v>
      </c>
      <c r="O71" s="4">
        <v>84.7</v>
      </c>
    </row>
    <row r="72" spans="1:15" x14ac:dyDescent="0.3">
      <c r="A72" t="s">
        <v>25</v>
      </c>
      <c r="B72" t="s">
        <v>43</v>
      </c>
      <c r="C72" t="s">
        <v>102</v>
      </c>
      <c r="D72" t="s">
        <v>120</v>
      </c>
      <c r="E72" t="s">
        <v>88</v>
      </c>
      <c r="F72">
        <v>1</v>
      </c>
      <c r="G72">
        <v>0</v>
      </c>
      <c r="H72" s="4">
        <v>100</v>
      </c>
      <c r="I72" s="4">
        <v>100</v>
      </c>
      <c r="J72" s="4">
        <v>93.46</v>
      </c>
      <c r="K72" s="4">
        <v>100</v>
      </c>
      <c r="L72" s="4">
        <v>100</v>
      </c>
      <c r="M72" s="4">
        <f>2.1+0.7</f>
        <v>2.8</v>
      </c>
      <c r="N72">
        <f t="shared" si="1"/>
        <v>11.000000000000014</v>
      </c>
      <c r="O72" s="4">
        <f>3.1+83.1</f>
        <v>86.199999999999989</v>
      </c>
    </row>
    <row r="73" spans="1:15" x14ac:dyDescent="0.3">
      <c r="A73" t="s">
        <v>25</v>
      </c>
      <c r="B73" t="s">
        <v>43</v>
      </c>
      <c r="C73" t="s">
        <v>103</v>
      </c>
      <c r="D73" t="s">
        <v>120</v>
      </c>
      <c r="E73" t="s">
        <v>88</v>
      </c>
      <c r="F73">
        <v>1</v>
      </c>
      <c r="G73">
        <v>0</v>
      </c>
      <c r="H73" s="4">
        <v>100</v>
      </c>
      <c r="I73" s="4">
        <v>100</v>
      </c>
      <c r="J73" s="4">
        <v>91.31</v>
      </c>
      <c r="K73" s="4">
        <v>100</v>
      </c>
      <c r="L73" s="4">
        <v>100</v>
      </c>
      <c r="M73">
        <v>4.8</v>
      </c>
      <c r="N73">
        <f t="shared" si="1"/>
        <v>11.100000000000009</v>
      </c>
      <c r="O73">
        <v>84.1</v>
      </c>
    </row>
    <row r="74" spans="1:15" x14ac:dyDescent="0.3">
      <c r="A74" t="s">
        <v>34</v>
      </c>
      <c r="B74" t="s">
        <v>43</v>
      </c>
      <c r="C74" t="s">
        <v>104</v>
      </c>
      <c r="D74" t="s">
        <v>120</v>
      </c>
      <c r="E74" t="s">
        <v>88</v>
      </c>
      <c r="F74">
        <v>1</v>
      </c>
      <c r="G74">
        <v>0</v>
      </c>
      <c r="H74" s="4">
        <v>100</v>
      </c>
      <c r="I74" s="4">
        <v>100</v>
      </c>
      <c r="J74" s="4">
        <v>95.01</v>
      </c>
      <c r="K74" s="4">
        <v>100</v>
      </c>
      <c r="L74" s="4">
        <v>100</v>
      </c>
      <c r="M74" s="4">
        <v>1.9</v>
      </c>
      <c r="N74">
        <f t="shared" si="1"/>
        <v>10.099999999999994</v>
      </c>
      <c r="O74" s="4">
        <v>88</v>
      </c>
    </row>
    <row r="75" spans="1:15" x14ac:dyDescent="0.3">
      <c r="A75" t="s">
        <v>34</v>
      </c>
      <c r="B75" t="s">
        <v>43</v>
      </c>
      <c r="C75" t="s">
        <v>105</v>
      </c>
      <c r="D75" t="s">
        <v>120</v>
      </c>
      <c r="E75" t="s">
        <v>88</v>
      </c>
      <c r="F75">
        <v>1</v>
      </c>
      <c r="G75">
        <v>0</v>
      </c>
      <c r="H75" s="4">
        <v>100</v>
      </c>
      <c r="I75" s="4">
        <v>100</v>
      </c>
      <c r="J75" s="4">
        <v>95.87</v>
      </c>
      <c r="K75" s="4">
        <v>100</v>
      </c>
      <c r="L75" s="4">
        <v>100</v>
      </c>
      <c r="M75" s="4">
        <v>1</v>
      </c>
      <c r="N75">
        <f t="shared" si="1"/>
        <v>10</v>
      </c>
      <c r="O75" s="4">
        <v>89</v>
      </c>
    </row>
    <row r="76" spans="1:15" x14ac:dyDescent="0.3">
      <c r="A76" t="s">
        <v>34</v>
      </c>
      <c r="B76" t="s">
        <v>43</v>
      </c>
      <c r="C76" t="s">
        <v>106</v>
      </c>
      <c r="D76" t="s">
        <v>120</v>
      </c>
      <c r="E76" t="s">
        <v>88</v>
      </c>
      <c r="F76">
        <v>1</v>
      </c>
      <c r="G76">
        <v>0</v>
      </c>
      <c r="H76" s="4">
        <v>100</v>
      </c>
      <c r="I76" s="4">
        <v>100</v>
      </c>
      <c r="J76" s="4">
        <v>93.78</v>
      </c>
      <c r="K76" s="4">
        <v>100</v>
      </c>
      <c r="L76" s="4">
        <v>100</v>
      </c>
      <c r="M76" s="4">
        <v>2.9</v>
      </c>
      <c r="N76">
        <f>100-(M76+O76)</f>
        <v>10</v>
      </c>
      <c r="O76" s="4">
        <v>87.1</v>
      </c>
    </row>
    <row r="77" spans="1:15" x14ac:dyDescent="0.3">
      <c r="A77" t="s">
        <v>34</v>
      </c>
      <c r="B77" t="s">
        <v>43</v>
      </c>
      <c r="C77" t="s">
        <v>107</v>
      </c>
      <c r="D77" t="s">
        <v>120</v>
      </c>
      <c r="E77" t="s">
        <v>88</v>
      </c>
      <c r="F77">
        <v>1</v>
      </c>
      <c r="G77">
        <v>0</v>
      </c>
      <c r="H77" s="4">
        <v>100</v>
      </c>
      <c r="I77" s="4">
        <v>100</v>
      </c>
      <c r="J77" s="4">
        <v>92.28</v>
      </c>
      <c r="K77" s="4">
        <v>100</v>
      </c>
      <c r="L77" s="4">
        <v>100</v>
      </c>
      <c r="M77" s="4">
        <v>4</v>
      </c>
      <c r="N77">
        <f>100-(M77+O77)</f>
        <v>11</v>
      </c>
      <c r="O77" s="4">
        <v>85</v>
      </c>
    </row>
    <row r="78" spans="1:15" x14ac:dyDescent="0.3">
      <c r="A78" t="s">
        <v>25</v>
      </c>
      <c r="B78" t="s">
        <v>140</v>
      </c>
      <c r="C78" t="s">
        <v>136</v>
      </c>
      <c r="D78" t="s">
        <v>147</v>
      </c>
      <c r="E78" t="s">
        <v>142</v>
      </c>
      <c r="F78">
        <v>1</v>
      </c>
      <c r="G78">
        <v>0</v>
      </c>
      <c r="H78" s="4">
        <v>16.670000000000002</v>
      </c>
      <c r="I78" s="4">
        <v>64.290000000000006</v>
      </c>
      <c r="J78" s="4">
        <v>54.73</v>
      </c>
      <c r="K78" s="4">
        <v>86.96</v>
      </c>
      <c r="L78" s="4">
        <v>100</v>
      </c>
      <c r="M78">
        <f>18.4+5.5</f>
        <v>23.9</v>
      </c>
      <c r="N78">
        <f>100-(M78+O78)</f>
        <v>57.5</v>
      </c>
      <c r="O78">
        <f>6.4+12.2</f>
        <v>18.600000000000001</v>
      </c>
    </row>
    <row r="79" spans="1:15" x14ac:dyDescent="0.3">
      <c r="A79" t="s">
        <v>25</v>
      </c>
      <c r="B79" t="s">
        <v>140</v>
      </c>
      <c r="C79" t="s">
        <v>137</v>
      </c>
      <c r="D79" t="s">
        <v>147</v>
      </c>
      <c r="E79" t="s">
        <v>142</v>
      </c>
      <c r="F79">
        <v>1</v>
      </c>
      <c r="G79">
        <v>0</v>
      </c>
      <c r="H79" s="4">
        <v>25</v>
      </c>
      <c r="I79" s="4">
        <v>72.73</v>
      </c>
      <c r="J79" s="4">
        <v>60.01</v>
      </c>
      <c r="K79" s="4">
        <v>90.91</v>
      </c>
      <c r="L79" s="4">
        <v>100</v>
      </c>
      <c r="M79">
        <f>16.5+4.7</f>
        <v>21.2</v>
      </c>
      <c r="N79">
        <f t="shared" si="1"/>
        <v>52.6</v>
      </c>
      <c r="O79">
        <f>8.3+17.9</f>
        <v>26.2</v>
      </c>
    </row>
    <row r="80" spans="1:15" x14ac:dyDescent="0.3">
      <c r="A80" t="s">
        <v>34</v>
      </c>
      <c r="B80" t="s">
        <v>140</v>
      </c>
      <c r="C80" t="s">
        <v>138</v>
      </c>
      <c r="D80" t="s">
        <v>147</v>
      </c>
      <c r="E80" t="s">
        <v>142</v>
      </c>
      <c r="F80">
        <v>1</v>
      </c>
      <c r="G80">
        <v>0</v>
      </c>
      <c r="H80" s="4">
        <v>20</v>
      </c>
      <c r="I80" s="4">
        <v>70</v>
      </c>
      <c r="J80" s="4">
        <v>58.13</v>
      </c>
      <c r="K80" s="4">
        <v>90</v>
      </c>
      <c r="L80" s="4">
        <v>100</v>
      </c>
      <c r="M80">
        <f>17.6+5</f>
        <v>22.6</v>
      </c>
      <c r="N80">
        <f t="shared" si="1"/>
        <v>53.7</v>
      </c>
      <c r="O80">
        <f>16+7.7</f>
        <v>23.7</v>
      </c>
    </row>
    <row r="81" spans="1:15" x14ac:dyDescent="0.3">
      <c r="A81" t="s">
        <v>34</v>
      </c>
      <c r="B81" t="s">
        <v>140</v>
      </c>
      <c r="C81" t="s">
        <v>139</v>
      </c>
      <c r="D81" t="s">
        <v>147</v>
      </c>
      <c r="E81" t="s">
        <v>142</v>
      </c>
      <c r="F81">
        <v>1</v>
      </c>
      <c r="G81">
        <v>0</v>
      </c>
      <c r="H81" s="4">
        <v>20</v>
      </c>
      <c r="I81" s="4">
        <v>70</v>
      </c>
      <c r="J81" s="4">
        <v>57.83</v>
      </c>
      <c r="K81" s="4">
        <v>90</v>
      </c>
      <c r="L81" s="4">
        <v>100</v>
      </c>
      <c r="M81">
        <f>17.6+5.3</f>
        <v>22.900000000000002</v>
      </c>
      <c r="N81">
        <f t="shared" si="1"/>
        <v>53.3</v>
      </c>
      <c r="O81">
        <f>7.6+16.2</f>
        <v>23.799999999999997</v>
      </c>
    </row>
    <row r="82" spans="1:15" x14ac:dyDescent="0.3">
      <c r="A82" t="s">
        <v>20</v>
      </c>
      <c r="B82" t="s">
        <v>140</v>
      </c>
      <c r="C82" t="s">
        <v>122</v>
      </c>
      <c r="D82" t="s">
        <v>120</v>
      </c>
      <c r="E82" t="s">
        <v>142</v>
      </c>
      <c r="F82">
        <v>1</v>
      </c>
      <c r="G82">
        <v>0</v>
      </c>
      <c r="H82" s="4"/>
      <c r="I82" s="4">
        <v>6.6669999999999998</v>
      </c>
      <c r="J82" s="4">
        <v>34.311</v>
      </c>
      <c r="K82" s="4">
        <v>80</v>
      </c>
      <c r="L82" s="4">
        <v>100</v>
      </c>
      <c r="M82">
        <f>48.3+5.9</f>
        <v>54.199999999999996</v>
      </c>
      <c r="N82">
        <f>100-(M82+O82)</f>
        <v>27.5</v>
      </c>
      <c r="O82">
        <f>5.6+12.7</f>
        <v>18.299999999999997</v>
      </c>
    </row>
    <row r="83" spans="1:15" x14ac:dyDescent="0.3">
      <c r="A83" t="s">
        <v>20</v>
      </c>
      <c r="B83" t="s">
        <v>140</v>
      </c>
      <c r="C83" t="s">
        <v>123</v>
      </c>
      <c r="D83" t="s">
        <v>120</v>
      </c>
      <c r="E83" t="s">
        <v>142</v>
      </c>
      <c r="F83">
        <v>1</v>
      </c>
      <c r="G83">
        <v>0</v>
      </c>
      <c r="H83" s="4"/>
      <c r="I83" s="4">
        <v>3.7040000000000002</v>
      </c>
      <c r="J83" s="4">
        <v>32.93</v>
      </c>
      <c r="K83" s="4">
        <v>81.25</v>
      </c>
      <c r="L83" s="4">
        <v>100</v>
      </c>
      <c r="M83">
        <f>51.6+5.8</f>
        <v>57.4</v>
      </c>
      <c r="N83">
        <f t="shared" ref="N83:N85" si="2">100-(M83+O83)</f>
        <v>23.200000000000003</v>
      </c>
      <c r="O83" s="4">
        <f>5.5+13.9</f>
        <v>19.399999999999999</v>
      </c>
    </row>
    <row r="84" spans="1:15" x14ac:dyDescent="0.3">
      <c r="A84" t="s">
        <v>20</v>
      </c>
      <c r="B84" t="s">
        <v>140</v>
      </c>
      <c r="C84" t="s">
        <v>155</v>
      </c>
      <c r="D84" t="s">
        <v>120</v>
      </c>
      <c r="E84" t="s">
        <v>142</v>
      </c>
      <c r="F84">
        <v>2</v>
      </c>
      <c r="G84">
        <v>0</v>
      </c>
      <c r="H84" s="4">
        <v>25</v>
      </c>
      <c r="I84" s="4">
        <v>78.48</v>
      </c>
      <c r="J84" s="4">
        <v>61.71</v>
      </c>
      <c r="K84" s="4">
        <v>92.59</v>
      </c>
      <c r="L84" s="4">
        <v>100</v>
      </c>
      <c r="M84">
        <f>19+2.8</f>
        <v>21.8</v>
      </c>
      <c r="N84">
        <f t="shared" si="2"/>
        <v>47.3</v>
      </c>
      <c r="O84">
        <f>12.2+18.7</f>
        <v>30.9</v>
      </c>
    </row>
    <row r="85" spans="1:15" x14ac:dyDescent="0.3">
      <c r="A85" t="s">
        <v>20</v>
      </c>
      <c r="B85" t="s">
        <v>140</v>
      </c>
      <c r="C85" t="s">
        <v>156</v>
      </c>
      <c r="D85" t="s">
        <v>120</v>
      </c>
      <c r="E85" t="s">
        <v>142</v>
      </c>
      <c r="F85">
        <v>2</v>
      </c>
      <c r="G85">
        <v>0</v>
      </c>
      <c r="H85" s="4">
        <v>5.556</v>
      </c>
      <c r="I85" s="4">
        <v>77.778000000000006</v>
      </c>
      <c r="J85" s="4">
        <v>58.012</v>
      </c>
      <c r="K85" s="4">
        <v>93.332999999999998</v>
      </c>
      <c r="L85" s="4">
        <v>100</v>
      </c>
      <c r="M85">
        <f>24.7+3.6</f>
        <v>28.3</v>
      </c>
      <c r="N85">
        <f t="shared" si="2"/>
        <v>39.099999999999994</v>
      </c>
      <c r="O85">
        <f>12.3+20.3</f>
        <v>32.6</v>
      </c>
    </row>
    <row r="86" spans="1:15" x14ac:dyDescent="0.3">
      <c r="A86" t="s">
        <v>15</v>
      </c>
      <c r="B86" t="s">
        <v>140</v>
      </c>
      <c r="C86" t="s">
        <v>124</v>
      </c>
      <c r="D86" t="s">
        <v>120</v>
      </c>
      <c r="E86" t="s">
        <v>142</v>
      </c>
      <c r="F86">
        <v>1</v>
      </c>
      <c r="G86">
        <v>0</v>
      </c>
      <c r="H86" s="4"/>
      <c r="I86" s="4">
        <v>18.18</v>
      </c>
      <c r="J86" s="4">
        <v>41.75</v>
      </c>
      <c r="K86" s="4">
        <v>90</v>
      </c>
      <c r="L86" s="4">
        <v>100</v>
      </c>
      <c r="M86">
        <f>41.5+6.2</f>
        <v>47.7</v>
      </c>
      <c r="N86">
        <f>100-(M86+O86)</f>
        <v>27.299999999999997</v>
      </c>
      <c r="O86">
        <f>7.3+17.7</f>
        <v>25</v>
      </c>
    </row>
    <row r="87" spans="1:15" x14ac:dyDescent="0.3">
      <c r="A87" t="s">
        <v>15</v>
      </c>
      <c r="B87" t="s">
        <v>140</v>
      </c>
      <c r="C87" t="s">
        <v>125</v>
      </c>
      <c r="D87" t="s">
        <v>120</v>
      </c>
      <c r="E87" t="s">
        <v>142</v>
      </c>
      <c r="F87">
        <v>1</v>
      </c>
      <c r="G87">
        <v>0</v>
      </c>
      <c r="H87" s="4"/>
      <c r="I87" s="4">
        <v>31.25</v>
      </c>
      <c r="J87" s="4">
        <v>44.37</v>
      </c>
      <c r="K87" s="4">
        <v>91.67</v>
      </c>
      <c r="L87" s="4">
        <v>100</v>
      </c>
      <c r="M87">
        <f>40.5+5.1</f>
        <v>45.6</v>
      </c>
      <c r="N87">
        <f t="shared" ref="N87:N89" si="3">100-(M87+O87)</f>
        <v>26.700000000000003</v>
      </c>
      <c r="O87">
        <f>8.5+19.2</f>
        <v>27.7</v>
      </c>
    </row>
    <row r="88" spans="1:15" x14ac:dyDescent="0.3">
      <c r="A88" t="s">
        <v>15</v>
      </c>
      <c r="B88" t="s">
        <v>140</v>
      </c>
      <c r="C88" t="s">
        <v>153</v>
      </c>
      <c r="D88" t="s">
        <v>120</v>
      </c>
      <c r="E88" t="s">
        <v>142</v>
      </c>
      <c r="F88">
        <v>2</v>
      </c>
      <c r="G88">
        <v>0</v>
      </c>
      <c r="H88" s="4">
        <v>6.0609999999999999</v>
      </c>
      <c r="I88" s="4">
        <v>78.947000000000003</v>
      </c>
      <c r="J88" s="4">
        <v>58.55</v>
      </c>
      <c r="K88" s="4">
        <v>93.75</v>
      </c>
      <c r="L88" s="4">
        <v>100</v>
      </c>
      <c r="M88">
        <f>24.2+3.6</f>
        <v>27.8</v>
      </c>
      <c r="N88">
        <f t="shared" si="3"/>
        <v>37.799999999999997</v>
      </c>
      <c r="O88">
        <f>12.7+21.7</f>
        <v>34.4</v>
      </c>
    </row>
    <row r="89" spans="1:15" x14ac:dyDescent="0.3">
      <c r="A89" t="s">
        <v>15</v>
      </c>
      <c r="B89" t="s">
        <v>140</v>
      </c>
      <c r="C89" t="s">
        <v>154</v>
      </c>
      <c r="D89" t="s">
        <v>120</v>
      </c>
      <c r="E89" t="s">
        <v>142</v>
      </c>
      <c r="F89">
        <v>2</v>
      </c>
      <c r="G89">
        <v>0</v>
      </c>
      <c r="H89" s="4">
        <v>33.33</v>
      </c>
      <c r="I89" s="4">
        <v>85.71</v>
      </c>
      <c r="J89" s="4">
        <v>66.64</v>
      </c>
      <c r="K89" s="4">
        <v>95.65</v>
      </c>
      <c r="L89" s="4">
        <v>100</v>
      </c>
      <c r="M89">
        <f>18+2.9</f>
        <v>20.9</v>
      </c>
      <c r="N89">
        <f t="shared" si="3"/>
        <v>37.200000000000003</v>
      </c>
      <c r="O89">
        <f>15.5+26.4</f>
        <v>41.9</v>
      </c>
    </row>
    <row r="90" spans="1:15" x14ac:dyDescent="0.3">
      <c r="A90" t="s">
        <v>10</v>
      </c>
      <c r="B90" t="s">
        <v>140</v>
      </c>
      <c r="C90" t="s">
        <v>126</v>
      </c>
      <c r="D90" t="s">
        <v>120</v>
      </c>
      <c r="E90" t="s">
        <v>142</v>
      </c>
      <c r="F90">
        <v>1</v>
      </c>
      <c r="G90">
        <v>0</v>
      </c>
      <c r="H90" s="4">
        <v>0</v>
      </c>
      <c r="I90" s="4">
        <v>46.15</v>
      </c>
      <c r="J90" s="4">
        <v>46.72</v>
      </c>
      <c r="K90" s="4">
        <v>92.86</v>
      </c>
      <c r="L90" s="4">
        <v>100</v>
      </c>
      <c r="M90" s="4">
        <f>37.8+5.1</f>
        <v>42.9</v>
      </c>
      <c r="N90">
        <f>100-(M90+O90)</f>
        <v>27.400000000000006</v>
      </c>
      <c r="O90">
        <f>8.7+21</f>
        <v>29.7</v>
      </c>
    </row>
    <row r="91" spans="1:15" x14ac:dyDescent="0.3">
      <c r="A91" t="s">
        <v>10</v>
      </c>
      <c r="B91" t="s">
        <v>140</v>
      </c>
      <c r="C91" t="s">
        <v>127</v>
      </c>
      <c r="D91" t="s">
        <v>120</v>
      </c>
      <c r="E91" t="s">
        <v>142</v>
      </c>
      <c r="F91">
        <v>1</v>
      </c>
      <c r="G91">
        <v>0</v>
      </c>
      <c r="H91" s="4"/>
      <c r="I91" s="4">
        <v>12.5</v>
      </c>
      <c r="J91" s="4">
        <v>39.83</v>
      </c>
      <c r="K91" s="4">
        <v>90</v>
      </c>
      <c r="L91" s="4">
        <v>100</v>
      </c>
      <c r="M91">
        <f>44+5.4</f>
        <v>49.4</v>
      </c>
      <c r="N91">
        <f>100-(M91+O91)</f>
        <v>26.799999999999997</v>
      </c>
      <c r="O91">
        <f>7.2+16.6</f>
        <v>23.8</v>
      </c>
    </row>
    <row r="92" spans="1:15" x14ac:dyDescent="0.3">
      <c r="A92" t="s">
        <v>10</v>
      </c>
      <c r="B92" t="s">
        <v>140</v>
      </c>
      <c r="C92" t="s">
        <v>152</v>
      </c>
      <c r="D92" t="s">
        <v>120</v>
      </c>
      <c r="E92" t="s">
        <v>142</v>
      </c>
      <c r="F92">
        <v>2</v>
      </c>
      <c r="G92">
        <v>0</v>
      </c>
      <c r="H92" s="4">
        <v>4.444</v>
      </c>
      <c r="I92" s="4">
        <v>77.5</v>
      </c>
      <c r="J92" s="4">
        <v>57.484000000000002</v>
      </c>
      <c r="K92" s="4">
        <v>93.548000000000002</v>
      </c>
      <c r="L92" s="4">
        <v>100</v>
      </c>
      <c r="M92">
        <f>25.6+3.6</f>
        <v>29.200000000000003</v>
      </c>
      <c r="N92">
        <f t="shared" ref="N92:N115" si="4">100-(M92+O92)</f>
        <v>37.399999999999991</v>
      </c>
      <c r="O92">
        <f>12.3+21.1</f>
        <v>33.400000000000006</v>
      </c>
    </row>
    <row r="93" spans="1:15" x14ac:dyDescent="0.3">
      <c r="A93" t="s">
        <v>10</v>
      </c>
      <c r="B93" t="s">
        <v>140</v>
      </c>
      <c r="C93" t="s">
        <v>151</v>
      </c>
      <c r="D93" t="s">
        <v>120</v>
      </c>
      <c r="E93" t="s">
        <v>142</v>
      </c>
      <c r="F93">
        <v>2</v>
      </c>
      <c r="G93">
        <v>0</v>
      </c>
      <c r="H93" s="4"/>
      <c r="I93" s="4">
        <v>65.52</v>
      </c>
      <c r="J93" s="4">
        <v>50.83</v>
      </c>
      <c r="K93" s="4">
        <v>93.33</v>
      </c>
      <c r="L93" s="4">
        <v>100</v>
      </c>
      <c r="M93">
        <f>33.2+4.7</f>
        <v>37.900000000000006</v>
      </c>
      <c r="N93">
        <f t="shared" si="4"/>
        <v>30.399999999999991</v>
      </c>
      <c r="O93">
        <f>10.7+21</f>
        <v>31.7</v>
      </c>
    </row>
    <row r="94" spans="1:15" x14ac:dyDescent="0.3">
      <c r="A94" t="s">
        <v>25</v>
      </c>
      <c r="B94" t="s">
        <v>140</v>
      </c>
      <c r="C94" t="s">
        <v>128</v>
      </c>
      <c r="D94" t="s">
        <v>120</v>
      </c>
      <c r="E94" t="s">
        <v>142</v>
      </c>
      <c r="F94">
        <v>1</v>
      </c>
      <c r="G94">
        <v>0</v>
      </c>
      <c r="H94" s="4"/>
      <c r="I94" s="4"/>
      <c r="J94" s="4">
        <v>29.03</v>
      </c>
      <c r="K94" s="4">
        <v>67.86</v>
      </c>
      <c r="L94" s="4">
        <v>100</v>
      </c>
      <c r="M94">
        <f>53.3+6.4</f>
        <v>59.699999999999996</v>
      </c>
      <c r="N94">
        <f t="shared" si="4"/>
        <v>26.100000000000009</v>
      </c>
      <c r="O94">
        <f>4.4+9.8</f>
        <v>14.200000000000001</v>
      </c>
    </row>
    <row r="95" spans="1:15" x14ac:dyDescent="0.3">
      <c r="A95" t="s">
        <v>25</v>
      </c>
      <c r="B95" t="s">
        <v>140</v>
      </c>
      <c r="C95" t="s">
        <v>129</v>
      </c>
      <c r="D95" t="s">
        <v>120</v>
      </c>
      <c r="E95" t="s">
        <v>142</v>
      </c>
      <c r="F95">
        <v>1</v>
      </c>
      <c r="G95">
        <v>0</v>
      </c>
      <c r="H95" s="4"/>
      <c r="I95" s="4">
        <v>5.7140000000000004</v>
      </c>
      <c r="J95" s="4">
        <v>32.743000000000002</v>
      </c>
      <c r="K95" s="4">
        <v>75</v>
      </c>
      <c r="L95" s="4">
        <v>100</v>
      </c>
      <c r="M95">
        <f>49.3+5.8</f>
        <v>55.099999999999994</v>
      </c>
      <c r="N95">
        <f t="shared" si="4"/>
        <v>29.900000000000006</v>
      </c>
      <c r="O95">
        <f>4.9+10.1</f>
        <v>15</v>
      </c>
    </row>
    <row r="96" spans="1:15" x14ac:dyDescent="0.3">
      <c r="A96" t="s">
        <v>25</v>
      </c>
      <c r="B96" t="s">
        <v>140</v>
      </c>
      <c r="C96" t="s">
        <v>130</v>
      </c>
      <c r="D96" t="s">
        <v>120</v>
      </c>
      <c r="E96" t="s">
        <v>142</v>
      </c>
      <c r="F96">
        <v>1</v>
      </c>
      <c r="G96">
        <v>0</v>
      </c>
      <c r="H96" s="4"/>
      <c r="I96" s="4"/>
      <c r="J96" s="4">
        <v>29.19</v>
      </c>
      <c r="K96" s="4">
        <v>70</v>
      </c>
      <c r="L96" s="4">
        <v>100</v>
      </c>
      <c r="M96">
        <f>54.3+6.4</f>
        <v>60.699999999999996</v>
      </c>
      <c r="N96">
        <f t="shared" si="4"/>
        <v>23.5</v>
      </c>
      <c r="O96">
        <f>4.5+11.3</f>
        <v>15.8</v>
      </c>
    </row>
    <row r="97" spans="1:15" x14ac:dyDescent="0.3">
      <c r="A97" t="s">
        <v>25</v>
      </c>
      <c r="B97" t="s">
        <v>140</v>
      </c>
      <c r="C97" t="s">
        <v>131</v>
      </c>
      <c r="D97" t="s">
        <v>120</v>
      </c>
      <c r="E97" t="s">
        <v>142</v>
      </c>
      <c r="F97">
        <v>1</v>
      </c>
      <c r="G97">
        <v>0</v>
      </c>
      <c r="H97" s="4"/>
      <c r="I97" s="4">
        <v>4.3479999999999999</v>
      </c>
      <c r="J97" s="4">
        <v>32.954999999999998</v>
      </c>
      <c r="K97" s="4">
        <v>79.167000000000002</v>
      </c>
      <c r="L97" s="4">
        <v>100</v>
      </c>
      <c r="M97">
        <f>50.8+5.6</f>
        <v>56.4</v>
      </c>
      <c r="N97">
        <f t="shared" si="4"/>
        <v>26.900000000000006</v>
      </c>
      <c r="O97">
        <f>5.3+11.4</f>
        <v>16.7</v>
      </c>
    </row>
    <row r="98" spans="1:15" x14ac:dyDescent="0.3">
      <c r="A98" t="s">
        <v>34</v>
      </c>
      <c r="B98" t="s">
        <v>140</v>
      </c>
      <c r="C98" t="s">
        <v>132</v>
      </c>
      <c r="D98" t="s">
        <v>120</v>
      </c>
      <c r="E98" t="s">
        <v>142</v>
      </c>
      <c r="F98">
        <v>1</v>
      </c>
      <c r="G98">
        <v>0</v>
      </c>
      <c r="H98" s="4"/>
      <c r="I98" s="4">
        <v>8.3330000000000002</v>
      </c>
      <c r="J98" s="4">
        <v>36.65</v>
      </c>
      <c r="K98" s="4">
        <v>83.332999999999998</v>
      </c>
      <c r="L98" s="4">
        <v>100</v>
      </c>
      <c r="M98">
        <f>47+5.4</f>
        <v>52.4</v>
      </c>
      <c r="N98">
        <f t="shared" si="4"/>
        <v>27.099999999999994</v>
      </c>
      <c r="O98">
        <f>5.8+14.7</f>
        <v>20.5</v>
      </c>
    </row>
    <row r="99" spans="1:15" x14ac:dyDescent="0.3">
      <c r="A99" t="s">
        <v>34</v>
      </c>
      <c r="B99" t="s">
        <v>140</v>
      </c>
      <c r="C99" t="s">
        <v>133</v>
      </c>
      <c r="D99" t="s">
        <v>120</v>
      </c>
      <c r="E99" t="s">
        <v>142</v>
      </c>
      <c r="F99">
        <v>1</v>
      </c>
      <c r="G99">
        <v>0</v>
      </c>
      <c r="H99" s="4"/>
      <c r="I99" s="4">
        <v>18.18</v>
      </c>
      <c r="J99" s="4">
        <v>40.24</v>
      </c>
      <c r="K99" s="4">
        <v>88.89</v>
      </c>
      <c r="L99" s="4">
        <v>100</v>
      </c>
      <c r="M99">
        <f>42.8+5.3</f>
        <v>48.099999999999994</v>
      </c>
      <c r="N99">
        <f t="shared" si="4"/>
        <v>30</v>
      </c>
      <c r="O99">
        <f>6.5+15.4</f>
        <v>21.9</v>
      </c>
    </row>
    <row r="100" spans="1:15" x14ac:dyDescent="0.3">
      <c r="A100" t="s">
        <v>34</v>
      </c>
      <c r="B100" t="s">
        <v>140</v>
      </c>
      <c r="C100" t="s">
        <v>134</v>
      </c>
      <c r="D100" t="s">
        <v>120</v>
      </c>
      <c r="E100" t="s">
        <v>142</v>
      </c>
      <c r="F100">
        <v>1</v>
      </c>
      <c r="G100">
        <v>0</v>
      </c>
      <c r="H100" s="4"/>
      <c r="I100" s="4">
        <v>8.3330000000000002</v>
      </c>
      <c r="J100" s="4">
        <v>36.17</v>
      </c>
      <c r="K100" s="4">
        <v>81.817999999999998</v>
      </c>
      <c r="L100" s="4">
        <v>100</v>
      </c>
      <c r="M100">
        <f>46.6+5.4</f>
        <v>52</v>
      </c>
      <c r="N100">
        <f t="shared" si="4"/>
        <v>29.400000000000006</v>
      </c>
      <c r="O100">
        <f>5.9+12.7</f>
        <v>18.600000000000001</v>
      </c>
    </row>
    <row r="101" spans="1:15" x14ac:dyDescent="0.3">
      <c r="A101" t="s">
        <v>34</v>
      </c>
      <c r="B101" t="s">
        <v>140</v>
      </c>
      <c r="C101" t="s">
        <v>135</v>
      </c>
      <c r="D101" t="s">
        <v>120</v>
      </c>
      <c r="E101" t="s">
        <v>142</v>
      </c>
      <c r="F101">
        <v>1</v>
      </c>
      <c r="G101">
        <v>0</v>
      </c>
      <c r="H101" s="4"/>
      <c r="I101" s="4"/>
      <c r="J101" s="4">
        <v>29.33</v>
      </c>
      <c r="K101" s="4">
        <v>70</v>
      </c>
      <c r="L101" s="4">
        <v>100</v>
      </c>
      <c r="M101">
        <f>54.2+5.9</f>
        <v>60.1</v>
      </c>
      <c r="N101">
        <f t="shared" si="4"/>
        <v>25.099999999999994</v>
      </c>
      <c r="O101">
        <f>4.4+10.4</f>
        <v>14.8</v>
      </c>
    </row>
    <row r="102" spans="1:15" x14ac:dyDescent="0.3">
      <c r="A102" t="s">
        <v>10</v>
      </c>
      <c r="B102" t="s">
        <v>43</v>
      </c>
      <c r="C102" t="s">
        <v>157</v>
      </c>
      <c r="D102" t="s">
        <v>120</v>
      </c>
      <c r="E102" t="s">
        <v>142</v>
      </c>
      <c r="F102">
        <v>2</v>
      </c>
      <c r="G102">
        <v>0</v>
      </c>
      <c r="H102" s="4">
        <v>38.46</v>
      </c>
      <c r="I102" s="4">
        <v>85.71</v>
      </c>
      <c r="J102" s="4">
        <v>67.150000000000006</v>
      </c>
      <c r="K102" s="4">
        <v>95.65</v>
      </c>
      <c r="L102" s="4">
        <v>100</v>
      </c>
      <c r="M102">
        <f>17.5+3.1</f>
        <v>20.6</v>
      </c>
      <c r="N102">
        <f t="shared" si="4"/>
        <v>37.999999999999993</v>
      </c>
      <c r="O102">
        <f>15.3+26.1</f>
        <v>41.400000000000006</v>
      </c>
    </row>
    <row r="103" spans="1:15" x14ac:dyDescent="0.3">
      <c r="A103" t="s">
        <v>10</v>
      </c>
      <c r="B103" t="s">
        <v>43</v>
      </c>
      <c r="C103" t="s">
        <v>158</v>
      </c>
      <c r="D103" t="s">
        <v>120</v>
      </c>
      <c r="E103" t="s">
        <v>142</v>
      </c>
      <c r="F103">
        <v>2</v>
      </c>
      <c r="G103">
        <v>0</v>
      </c>
      <c r="H103" s="4">
        <v>9.5239999999999991</v>
      </c>
      <c r="I103" s="4">
        <v>80</v>
      </c>
      <c r="J103" s="4">
        <v>61.088999999999999</v>
      </c>
      <c r="K103" s="4">
        <v>93.332999999999998</v>
      </c>
      <c r="L103" s="4">
        <v>100</v>
      </c>
      <c r="M103">
        <f>22+3.5</f>
        <v>25.5</v>
      </c>
      <c r="N103">
        <f t="shared" si="4"/>
        <v>40</v>
      </c>
      <c r="O103">
        <f>13.3+21.2</f>
        <v>34.5</v>
      </c>
    </row>
    <row r="104" spans="1:15" x14ac:dyDescent="0.3">
      <c r="A104" t="s">
        <v>10</v>
      </c>
      <c r="B104" t="s">
        <v>43</v>
      </c>
      <c r="C104" t="s">
        <v>159</v>
      </c>
      <c r="D104" t="s">
        <v>120</v>
      </c>
      <c r="E104" t="s">
        <v>142</v>
      </c>
      <c r="F104">
        <v>2</v>
      </c>
      <c r="G104">
        <v>0</v>
      </c>
      <c r="H104" s="4">
        <v>5.8819999999999997</v>
      </c>
      <c r="I104" s="4">
        <v>80</v>
      </c>
      <c r="J104" s="4">
        <v>59.106000000000002</v>
      </c>
      <c r="K104" s="4">
        <v>93.75</v>
      </c>
      <c r="L104" s="4">
        <v>100</v>
      </c>
      <c r="M104">
        <f>24.3+3.7</f>
        <v>28</v>
      </c>
      <c r="N104">
        <f t="shared" si="4"/>
        <v>37.299999999999997</v>
      </c>
      <c r="O104">
        <f>12.9+21.8</f>
        <v>34.700000000000003</v>
      </c>
    </row>
    <row r="105" spans="1:15" x14ac:dyDescent="0.3">
      <c r="A105" t="s">
        <v>15</v>
      </c>
      <c r="B105" t="s">
        <v>43</v>
      </c>
      <c r="C105" t="s">
        <v>162</v>
      </c>
      <c r="D105" t="s">
        <v>120</v>
      </c>
      <c r="E105" t="s">
        <v>142</v>
      </c>
      <c r="F105">
        <v>2</v>
      </c>
      <c r="G105">
        <v>0</v>
      </c>
      <c r="H105" s="4">
        <v>8.9740000000000002</v>
      </c>
      <c r="I105" s="4">
        <v>73.332999999999998</v>
      </c>
      <c r="J105" s="4">
        <v>57.655999999999999</v>
      </c>
      <c r="K105" s="4">
        <v>90.721999999999994</v>
      </c>
      <c r="L105" s="4">
        <v>100</v>
      </c>
      <c r="M105">
        <f>22.8+2.9</f>
        <v>25.7</v>
      </c>
      <c r="N105">
        <f t="shared" si="4"/>
        <v>48.599999999999994</v>
      </c>
      <c r="O105">
        <f>10.4+15.3</f>
        <v>25.700000000000003</v>
      </c>
    </row>
    <row r="106" spans="1:15" x14ac:dyDescent="0.3">
      <c r="A106" t="s">
        <v>15</v>
      </c>
      <c r="B106" t="s">
        <v>43</v>
      </c>
      <c r="C106" t="s">
        <v>160</v>
      </c>
      <c r="D106" t="s">
        <v>120</v>
      </c>
      <c r="E106" t="s">
        <v>142</v>
      </c>
      <c r="F106">
        <v>2</v>
      </c>
      <c r="G106">
        <v>0</v>
      </c>
      <c r="H106" s="4">
        <v>7.6920000000000002</v>
      </c>
      <c r="I106" s="4">
        <v>80.488</v>
      </c>
      <c r="J106" s="4">
        <v>60.207000000000001</v>
      </c>
      <c r="K106" s="4">
        <v>94</v>
      </c>
      <c r="L106" s="4">
        <v>100</v>
      </c>
      <c r="M106">
        <f>23.3+3.2</f>
        <v>26.5</v>
      </c>
      <c r="N106">
        <f t="shared" si="4"/>
        <v>38.299999999999997</v>
      </c>
      <c r="O106">
        <f>13.2+22</f>
        <v>35.200000000000003</v>
      </c>
    </row>
    <row r="107" spans="1:15" x14ac:dyDescent="0.3">
      <c r="A107" t="s">
        <v>15</v>
      </c>
      <c r="B107" t="s">
        <v>43</v>
      </c>
      <c r="C107" t="s">
        <v>161</v>
      </c>
      <c r="D107" t="s">
        <v>120</v>
      </c>
      <c r="E107" t="s">
        <v>142</v>
      </c>
      <c r="F107">
        <v>2</v>
      </c>
      <c r="G107">
        <v>0</v>
      </c>
      <c r="H107" s="4">
        <v>8</v>
      </c>
      <c r="I107" s="4">
        <v>76.92</v>
      </c>
      <c r="J107" s="4">
        <v>58.76</v>
      </c>
      <c r="K107" s="4">
        <v>91.84</v>
      </c>
      <c r="L107" s="4">
        <v>100</v>
      </c>
      <c r="M107">
        <f>23+3.2</f>
        <v>26.2</v>
      </c>
      <c r="N107">
        <f t="shared" si="4"/>
        <v>44.5</v>
      </c>
      <c r="O107">
        <f>11.8+17.5</f>
        <v>29.3</v>
      </c>
    </row>
    <row r="108" spans="1:15" x14ac:dyDescent="0.3">
      <c r="A108" t="s">
        <v>25</v>
      </c>
      <c r="B108" t="s">
        <v>43</v>
      </c>
      <c r="C108" t="s">
        <v>98</v>
      </c>
      <c r="D108" t="s">
        <v>120</v>
      </c>
      <c r="E108" t="s">
        <v>142</v>
      </c>
      <c r="F108">
        <v>1</v>
      </c>
      <c r="G108">
        <v>0</v>
      </c>
      <c r="H108" s="4"/>
      <c r="I108" s="4">
        <v>3.8460000000000001</v>
      </c>
      <c r="J108" s="4">
        <v>30.934999999999999</v>
      </c>
      <c r="K108" s="4">
        <v>72.727000000000004</v>
      </c>
      <c r="L108" s="4">
        <v>100</v>
      </c>
      <c r="M108">
        <f>51.4+6.1</f>
        <v>57.5</v>
      </c>
      <c r="N108">
        <f t="shared" si="4"/>
        <v>27.599999999999994</v>
      </c>
      <c r="O108">
        <f>4.6+10.3</f>
        <v>14.9</v>
      </c>
    </row>
    <row r="109" spans="1:15" x14ac:dyDescent="0.3">
      <c r="A109" t="s">
        <v>25</v>
      </c>
      <c r="B109" t="s">
        <v>43</v>
      </c>
      <c r="C109" t="s">
        <v>101</v>
      </c>
      <c r="D109" t="s">
        <v>120</v>
      </c>
      <c r="E109" t="s">
        <v>142</v>
      </c>
      <c r="F109">
        <v>1</v>
      </c>
      <c r="G109">
        <v>0</v>
      </c>
      <c r="H109" s="4"/>
      <c r="I109" s="4"/>
      <c r="J109" s="4">
        <v>31.05</v>
      </c>
      <c r="K109" s="4">
        <v>71.430000000000007</v>
      </c>
      <c r="L109" s="4">
        <v>100</v>
      </c>
      <c r="M109">
        <f>51+6</f>
        <v>57</v>
      </c>
      <c r="N109">
        <f t="shared" si="4"/>
        <v>29.5</v>
      </c>
      <c r="O109">
        <f>4.3+9.2</f>
        <v>13.5</v>
      </c>
    </row>
    <row r="110" spans="1:15" x14ac:dyDescent="0.3">
      <c r="A110" t="s">
        <v>25</v>
      </c>
      <c r="B110" t="s">
        <v>43</v>
      </c>
      <c r="C110" t="s">
        <v>102</v>
      </c>
      <c r="D110" t="s">
        <v>120</v>
      </c>
      <c r="E110" t="s">
        <v>142</v>
      </c>
      <c r="F110">
        <v>1</v>
      </c>
      <c r="G110">
        <v>0</v>
      </c>
      <c r="H110" s="4"/>
      <c r="I110" s="4">
        <v>11.11</v>
      </c>
      <c r="J110" s="4">
        <v>37.340000000000003</v>
      </c>
      <c r="K110" s="4">
        <v>81.400000000000006</v>
      </c>
      <c r="L110" s="4">
        <v>100</v>
      </c>
      <c r="M110">
        <f>44.7+5.1</f>
        <v>49.800000000000004</v>
      </c>
      <c r="N110">
        <f t="shared" si="4"/>
        <v>32.699999999999989</v>
      </c>
      <c r="O110">
        <f>6+11.5</f>
        <v>17.5</v>
      </c>
    </row>
    <row r="111" spans="1:15" x14ac:dyDescent="0.3">
      <c r="A111" t="s">
        <v>25</v>
      </c>
      <c r="B111" t="s">
        <v>43</v>
      </c>
      <c r="C111" t="s">
        <v>103</v>
      </c>
      <c r="D111" t="s">
        <v>120</v>
      </c>
      <c r="E111" t="s">
        <v>142</v>
      </c>
      <c r="F111">
        <v>1</v>
      </c>
      <c r="G111">
        <v>0</v>
      </c>
      <c r="H111" s="4"/>
      <c r="I111" s="4">
        <v>4.1669999999999998</v>
      </c>
      <c r="J111" s="4">
        <v>31.484000000000002</v>
      </c>
      <c r="K111" s="4">
        <v>73.332999999999998</v>
      </c>
      <c r="L111" s="4">
        <v>100</v>
      </c>
      <c r="M111">
        <f>51.2+5.8</f>
        <v>57</v>
      </c>
      <c r="N111">
        <f t="shared" si="4"/>
        <v>27.799999999999997</v>
      </c>
      <c r="O111">
        <f>5+10.2</f>
        <v>15.2</v>
      </c>
    </row>
    <row r="112" spans="1:15" x14ac:dyDescent="0.3">
      <c r="A112" t="s">
        <v>34</v>
      </c>
      <c r="B112" t="s">
        <v>43</v>
      </c>
      <c r="C112" t="s">
        <v>104</v>
      </c>
      <c r="D112" t="s">
        <v>120</v>
      </c>
      <c r="E112" t="s">
        <v>142</v>
      </c>
      <c r="F112">
        <v>1</v>
      </c>
      <c r="G112">
        <v>0</v>
      </c>
      <c r="H112" s="4"/>
      <c r="I112" s="4">
        <v>13.33</v>
      </c>
      <c r="J112" s="4">
        <v>38</v>
      </c>
      <c r="K112" s="4">
        <v>81.819999999999993</v>
      </c>
      <c r="L112" s="4">
        <v>100</v>
      </c>
      <c r="M112">
        <f>44.5+5.1</f>
        <v>49.6</v>
      </c>
      <c r="N112">
        <f t="shared" si="4"/>
        <v>32.200000000000003</v>
      </c>
      <c r="O112">
        <f>5.7+12.5</f>
        <v>18.2</v>
      </c>
    </row>
    <row r="113" spans="1:15" x14ac:dyDescent="0.3">
      <c r="A113" t="s">
        <v>34</v>
      </c>
      <c r="B113" t="s">
        <v>43</v>
      </c>
      <c r="C113" t="s">
        <v>105</v>
      </c>
      <c r="D113" t="s">
        <v>120</v>
      </c>
      <c r="E113" t="s">
        <v>142</v>
      </c>
      <c r="F113">
        <v>1</v>
      </c>
      <c r="G113">
        <v>0</v>
      </c>
      <c r="H113" s="4"/>
      <c r="I113" s="4">
        <v>41.67</v>
      </c>
      <c r="J113" s="4">
        <v>44.12</v>
      </c>
      <c r="K113" s="4">
        <v>90</v>
      </c>
      <c r="L113" s="4">
        <v>100</v>
      </c>
      <c r="M113">
        <f>38.4+4.4</f>
        <v>42.8</v>
      </c>
      <c r="N113">
        <f t="shared" si="4"/>
        <v>35.200000000000003</v>
      </c>
      <c r="O113">
        <f>6.7+15.3</f>
        <v>22</v>
      </c>
    </row>
    <row r="114" spans="1:15" x14ac:dyDescent="0.3">
      <c r="A114" t="s">
        <v>34</v>
      </c>
      <c r="B114" t="s">
        <v>43</v>
      </c>
      <c r="C114" t="s">
        <v>106</v>
      </c>
      <c r="D114" t="s">
        <v>120</v>
      </c>
      <c r="E114" t="s">
        <v>142</v>
      </c>
      <c r="F114">
        <v>1</v>
      </c>
      <c r="G114">
        <v>0</v>
      </c>
      <c r="H114" s="4"/>
      <c r="I114" s="4">
        <v>7.6920000000000002</v>
      </c>
      <c r="J114" s="4">
        <v>35.066000000000003</v>
      </c>
      <c r="K114" s="4">
        <v>80</v>
      </c>
      <c r="L114" s="4">
        <v>100</v>
      </c>
      <c r="M114">
        <f>47.7+5.5</f>
        <v>53.2</v>
      </c>
      <c r="N114">
        <f t="shared" si="4"/>
        <v>28.900000000000006</v>
      </c>
      <c r="O114">
        <f>5.3+12.6</f>
        <v>17.899999999999999</v>
      </c>
    </row>
    <row r="115" spans="1:15" x14ac:dyDescent="0.3">
      <c r="A115" t="s">
        <v>34</v>
      </c>
      <c r="B115" t="s">
        <v>43</v>
      </c>
      <c r="C115" t="s">
        <v>107</v>
      </c>
      <c r="D115" t="s">
        <v>120</v>
      </c>
      <c r="E115" t="s">
        <v>142</v>
      </c>
      <c r="F115">
        <v>1</v>
      </c>
      <c r="G115">
        <v>0</v>
      </c>
      <c r="H115" s="4"/>
      <c r="I115" s="4"/>
      <c r="J115" s="4">
        <v>29.39</v>
      </c>
      <c r="K115" s="4">
        <v>69.7</v>
      </c>
      <c r="L115" s="4">
        <v>100</v>
      </c>
      <c r="M115">
        <f>53+6.5</f>
        <v>59.5</v>
      </c>
      <c r="N115">
        <f t="shared" si="4"/>
        <v>26.200000000000003</v>
      </c>
      <c r="O115">
        <f>4.5+9.8</f>
        <v>14.3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40D8-99D0-4C2E-9C67-AE1764836EA4}">
  <dimension ref="A1:R40"/>
  <sheetViews>
    <sheetView tabSelected="1" workbookViewId="0">
      <pane xSplit="1" topLeftCell="D1" activePane="topRight" state="frozen"/>
      <selection activeCell="A7" sqref="A7"/>
      <selection pane="topRight" activeCell="M39" sqref="M39"/>
    </sheetView>
  </sheetViews>
  <sheetFormatPr defaultRowHeight="14.4" x14ac:dyDescent="0.3"/>
  <cols>
    <col min="1" max="1" width="17.33203125" bestFit="1" customWidth="1"/>
    <col min="2" max="2" width="10.44140625" bestFit="1" customWidth="1"/>
    <col min="3" max="3" width="16.5546875" bestFit="1" customWidth="1"/>
    <col min="4" max="4" width="16" bestFit="1" customWidth="1"/>
    <col min="5" max="5" width="16.5546875" bestFit="1" customWidth="1"/>
    <col min="6" max="6" width="15.88671875" bestFit="1" customWidth="1"/>
    <col min="7" max="7" width="14.33203125" bestFit="1" customWidth="1"/>
    <col min="8" max="8" width="14.6640625" bestFit="1" customWidth="1"/>
    <col min="9" max="9" width="13.109375" bestFit="1" customWidth="1"/>
    <col min="10" max="10" width="11.77734375" bestFit="1" customWidth="1"/>
    <col min="11" max="11" width="13.44140625" bestFit="1" customWidth="1"/>
    <col min="12" max="12" width="11.5546875" bestFit="1" customWidth="1"/>
    <col min="13" max="13" width="13.21875" bestFit="1" customWidth="1"/>
    <col min="14" max="14" width="14" bestFit="1" customWidth="1"/>
    <col min="15" max="15" width="15.5546875" bestFit="1" customWidth="1"/>
    <col min="16" max="16" width="10.21875" bestFit="1" customWidth="1"/>
    <col min="17" max="17" width="14.44140625" bestFit="1" customWidth="1"/>
    <col min="18" max="18" width="14.33203125" bestFit="1" customWidth="1"/>
  </cols>
  <sheetData>
    <row r="1" spans="1:18" x14ac:dyDescent="0.3">
      <c r="A1" s="2" t="s">
        <v>146</v>
      </c>
      <c r="B1" s="2" t="s">
        <v>113</v>
      </c>
      <c r="C1" s="2" t="s">
        <v>163</v>
      </c>
      <c r="D1" s="2" t="s">
        <v>243</v>
      </c>
      <c r="E1" s="2" t="s">
        <v>244</v>
      </c>
      <c r="F1" s="2" t="s">
        <v>245</v>
      </c>
      <c r="G1" s="2" t="s">
        <v>246</v>
      </c>
      <c r="H1" s="2" t="s">
        <v>247</v>
      </c>
      <c r="I1" s="2" t="s">
        <v>248</v>
      </c>
      <c r="J1" s="2" t="s">
        <v>517</v>
      </c>
      <c r="K1" s="2" t="s">
        <v>518</v>
      </c>
      <c r="L1" s="2" t="s">
        <v>519</v>
      </c>
      <c r="M1" s="2" t="s">
        <v>520</v>
      </c>
      <c r="N1" s="2" t="s">
        <v>521</v>
      </c>
      <c r="O1" s="2" t="s">
        <v>522</v>
      </c>
      <c r="P1" s="2" t="s">
        <v>1</v>
      </c>
      <c r="Q1" s="2" t="s">
        <v>112</v>
      </c>
      <c r="R1" s="2" t="s">
        <v>3</v>
      </c>
    </row>
    <row r="2" spans="1:18" x14ac:dyDescent="0.3">
      <c r="A2" t="s">
        <v>136</v>
      </c>
      <c r="B2" t="s">
        <v>147</v>
      </c>
      <c r="C2">
        <v>1</v>
      </c>
      <c r="D2" s="4">
        <v>64.290000000000006</v>
      </c>
      <c r="E2" s="4">
        <v>56.22</v>
      </c>
      <c r="F2" s="4">
        <v>90</v>
      </c>
      <c r="G2" s="4">
        <v>78.599999999999994</v>
      </c>
      <c r="H2" s="4">
        <v>64.290000000000006</v>
      </c>
      <c r="I2" s="4">
        <v>54.73</v>
      </c>
      <c r="J2" s="10"/>
      <c r="P2" t="s">
        <v>25</v>
      </c>
      <c r="Q2" t="s">
        <v>140</v>
      </c>
      <c r="R2">
        <v>57325270</v>
      </c>
    </row>
    <row r="3" spans="1:18" x14ac:dyDescent="0.3">
      <c r="A3" t="s">
        <v>137</v>
      </c>
      <c r="B3" t="s">
        <v>147</v>
      </c>
      <c r="C3">
        <v>1</v>
      </c>
      <c r="D3">
        <v>76.739999999999995</v>
      </c>
      <c r="E3">
        <v>62.9</v>
      </c>
      <c r="F3" s="4">
        <v>90.91</v>
      </c>
      <c r="G3" s="4">
        <v>82.32</v>
      </c>
      <c r="H3" s="4">
        <v>72.73</v>
      </c>
      <c r="I3" s="4">
        <v>60.01</v>
      </c>
      <c r="P3" t="s">
        <v>25</v>
      </c>
      <c r="Q3" t="s">
        <v>140</v>
      </c>
      <c r="R3">
        <v>59792434</v>
      </c>
    </row>
    <row r="4" spans="1:18" x14ac:dyDescent="0.3">
      <c r="A4" t="s">
        <v>138</v>
      </c>
      <c r="B4" t="s">
        <v>147</v>
      </c>
      <c r="C4">
        <v>1</v>
      </c>
      <c r="D4" s="4">
        <v>72.73</v>
      </c>
      <c r="E4" s="4">
        <v>61.39</v>
      </c>
      <c r="F4" s="4">
        <v>90.91</v>
      </c>
      <c r="G4" s="4">
        <v>81.06</v>
      </c>
      <c r="H4" s="4">
        <v>70</v>
      </c>
      <c r="I4" s="4">
        <v>58.13</v>
      </c>
      <c r="P4" t="s">
        <v>34</v>
      </c>
      <c r="Q4" t="s">
        <v>140</v>
      </c>
      <c r="R4">
        <v>58316470</v>
      </c>
    </row>
    <row r="5" spans="1:18" x14ac:dyDescent="0.3">
      <c r="A5" t="s">
        <v>139</v>
      </c>
      <c r="B5" t="s">
        <v>147</v>
      </c>
      <c r="C5">
        <v>1</v>
      </c>
      <c r="D5" s="4">
        <v>72.73</v>
      </c>
      <c r="E5" s="4">
        <v>61.09</v>
      </c>
      <c r="F5" s="4">
        <v>90.91</v>
      </c>
      <c r="G5" s="4">
        <v>81.010000000000005</v>
      </c>
      <c r="H5" s="4">
        <v>70</v>
      </c>
      <c r="I5" s="4">
        <v>57.83</v>
      </c>
      <c r="P5" t="s">
        <v>34</v>
      </c>
      <c r="Q5" t="s">
        <v>140</v>
      </c>
      <c r="R5">
        <v>58674994</v>
      </c>
    </row>
    <row r="6" spans="1:18" x14ac:dyDescent="0.3">
      <c r="A6" t="s">
        <v>122</v>
      </c>
      <c r="B6" t="s">
        <v>120</v>
      </c>
      <c r="C6">
        <v>1</v>
      </c>
      <c r="D6" s="4">
        <v>0</v>
      </c>
      <c r="E6" s="4">
        <v>21.64</v>
      </c>
      <c r="F6" s="4">
        <v>100</v>
      </c>
      <c r="G6" s="4">
        <v>93.2</v>
      </c>
      <c r="H6" s="4">
        <v>6.6669999999999998</v>
      </c>
      <c r="I6" s="4">
        <v>34.311</v>
      </c>
      <c r="J6" s="10">
        <v>67.84</v>
      </c>
      <c r="K6" s="10">
        <v>65.62</v>
      </c>
      <c r="L6" s="10">
        <v>68.36</v>
      </c>
      <c r="M6" s="10">
        <v>66.67</v>
      </c>
      <c r="N6" s="10">
        <v>35.948999999999998</v>
      </c>
      <c r="O6" s="10">
        <v>8.3330000000000002</v>
      </c>
      <c r="P6" t="s">
        <v>20</v>
      </c>
      <c r="Q6" t="s">
        <v>140</v>
      </c>
      <c r="R6">
        <v>10088050</v>
      </c>
    </row>
    <row r="7" spans="1:18" x14ac:dyDescent="0.3">
      <c r="A7" t="s">
        <v>123</v>
      </c>
      <c r="B7" t="s">
        <v>120</v>
      </c>
      <c r="C7">
        <v>1</v>
      </c>
      <c r="D7" s="4">
        <v>0</v>
      </c>
      <c r="E7" s="4">
        <v>23.85</v>
      </c>
      <c r="F7" s="4">
        <v>100</v>
      </c>
      <c r="G7" s="4">
        <v>93.58</v>
      </c>
      <c r="H7" s="4">
        <v>3.7040000000000002</v>
      </c>
      <c r="I7" s="4">
        <v>32.93</v>
      </c>
      <c r="J7" s="10">
        <v>67.5</v>
      </c>
      <c r="K7" s="10">
        <v>64.290000000000006</v>
      </c>
      <c r="L7" s="10">
        <v>68</v>
      </c>
      <c r="M7" s="10">
        <v>64.290000000000006</v>
      </c>
      <c r="N7" s="10">
        <v>34.753999999999998</v>
      </c>
      <c r="O7" s="10">
        <v>5.556</v>
      </c>
      <c r="P7" t="s">
        <v>20</v>
      </c>
      <c r="Q7" t="s">
        <v>140</v>
      </c>
      <c r="R7">
        <v>10184018</v>
      </c>
    </row>
    <row r="8" spans="1:18" x14ac:dyDescent="0.3">
      <c r="A8" t="s">
        <v>155</v>
      </c>
      <c r="B8" t="s">
        <v>120</v>
      </c>
      <c r="C8">
        <v>2</v>
      </c>
      <c r="D8" s="4">
        <v>72.22</v>
      </c>
      <c r="E8" s="4">
        <v>56.4</v>
      </c>
      <c r="F8" s="4">
        <v>100</v>
      </c>
      <c r="G8" s="4">
        <v>95.15</v>
      </c>
      <c r="H8" s="4">
        <v>78.48</v>
      </c>
      <c r="I8" s="4">
        <v>61.71</v>
      </c>
      <c r="J8" s="10">
        <v>78.319999999999993</v>
      </c>
      <c r="K8" s="10">
        <v>86.67</v>
      </c>
      <c r="L8" s="10">
        <v>80.760000000000005</v>
      </c>
      <c r="M8" s="10">
        <v>89.47</v>
      </c>
      <c r="N8" s="10">
        <v>61.37</v>
      </c>
      <c r="O8" s="10">
        <v>77.78</v>
      </c>
      <c r="P8" t="s">
        <v>20</v>
      </c>
      <c r="Q8" t="s">
        <v>140</v>
      </c>
      <c r="R8">
        <v>68931846</v>
      </c>
    </row>
    <row r="9" spans="1:18" x14ac:dyDescent="0.3">
      <c r="A9" t="s">
        <v>156</v>
      </c>
      <c r="B9" t="s">
        <v>120</v>
      </c>
      <c r="C9">
        <v>2</v>
      </c>
      <c r="D9" s="4">
        <v>60</v>
      </c>
      <c r="E9" s="4">
        <v>49</v>
      </c>
      <c r="F9" s="4">
        <v>100</v>
      </c>
      <c r="G9" s="4">
        <v>95.28</v>
      </c>
      <c r="H9" s="4">
        <v>77.778000000000006</v>
      </c>
      <c r="I9" s="4">
        <v>58.012</v>
      </c>
      <c r="J9" s="10">
        <v>77.05</v>
      </c>
      <c r="K9" s="10">
        <v>85.71</v>
      </c>
      <c r="L9" s="10">
        <v>79.37</v>
      </c>
      <c r="M9" s="10">
        <v>89.47</v>
      </c>
      <c r="N9" s="10">
        <v>57.98</v>
      </c>
      <c r="O9" s="10">
        <v>76.923000000000002</v>
      </c>
      <c r="P9" t="s">
        <v>20</v>
      </c>
      <c r="Q9" t="s">
        <v>140</v>
      </c>
      <c r="R9">
        <v>26126712</v>
      </c>
    </row>
    <row r="10" spans="1:18" x14ac:dyDescent="0.3">
      <c r="A10" t="s">
        <v>124</v>
      </c>
      <c r="B10" t="s">
        <v>120</v>
      </c>
      <c r="C10">
        <v>1</v>
      </c>
      <c r="D10" s="4">
        <v>8.3330000000000002</v>
      </c>
      <c r="E10" s="4">
        <v>35.578000000000003</v>
      </c>
      <c r="F10" s="4">
        <v>100</v>
      </c>
      <c r="G10" s="4">
        <v>96.19</v>
      </c>
      <c r="H10" s="4">
        <v>18.18</v>
      </c>
      <c r="I10" s="4">
        <v>41.75</v>
      </c>
      <c r="J10" s="10">
        <v>72.87</v>
      </c>
      <c r="K10" s="10">
        <v>73.680000000000007</v>
      </c>
      <c r="L10" s="10">
        <v>79.86</v>
      </c>
      <c r="M10" s="10">
        <v>73.33</v>
      </c>
      <c r="N10" s="10">
        <v>43.71</v>
      </c>
      <c r="O10" s="10">
        <v>30</v>
      </c>
      <c r="P10" t="s">
        <v>15</v>
      </c>
      <c r="Q10" t="s">
        <v>140</v>
      </c>
      <c r="R10">
        <v>10611458</v>
      </c>
    </row>
    <row r="11" spans="1:18" x14ac:dyDescent="0.3">
      <c r="A11" t="s">
        <v>125</v>
      </c>
      <c r="B11" t="s">
        <v>120</v>
      </c>
      <c r="C11">
        <v>1</v>
      </c>
      <c r="D11" s="4">
        <v>6.6669999999999998</v>
      </c>
      <c r="E11" s="4">
        <v>34.811999999999998</v>
      </c>
      <c r="F11" s="4">
        <v>100</v>
      </c>
      <c r="G11" s="4">
        <v>96.59</v>
      </c>
      <c r="H11" s="4">
        <v>31.25</v>
      </c>
      <c r="I11" s="4">
        <v>44.37</v>
      </c>
      <c r="J11" s="10">
        <v>74.099999999999994</v>
      </c>
      <c r="K11" s="10">
        <v>76.92</v>
      </c>
      <c r="L11" s="10">
        <v>73.94</v>
      </c>
      <c r="M11" s="10">
        <v>78.569999999999993</v>
      </c>
      <c r="N11" s="10">
        <v>46.74</v>
      </c>
      <c r="O11" s="10">
        <v>48.28</v>
      </c>
      <c r="P11" t="s">
        <v>15</v>
      </c>
      <c r="Q11" t="s">
        <v>140</v>
      </c>
      <c r="R11">
        <v>9784810</v>
      </c>
    </row>
    <row r="12" spans="1:18" x14ac:dyDescent="0.3">
      <c r="A12" t="s">
        <v>153</v>
      </c>
      <c r="B12" t="s">
        <v>120</v>
      </c>
      <c r="C12">
        <v>2</v>
      </c>
      <c r="D12" s="4">
        <v>64.286000000000001</v>
      </c>
      <c r="E12" s="4">
        <v>50.545999999999999</v>
      </c>
      <c r="F12" s="4">
        <v>100</v>
      </c>
      <c r="G12" s="4">
        <v>95.21</v>
      </c>
      <c r="H12" s="4">
        <v>78.947000000000003</v>
      </c>
      <c r="I12" s="4">
        <v>58.55</v>
      </c>
      <c r="J12" s="10">
        <v>76.36</v>
      </c>
      <c r="K12" s="10">
        <v>85.71</v>
      </c>
      <c r="L12" s="10">
        <v>79.91</v>
      </c>
      <c r="M12" s="10">
        <v>90</v>
      </c>
      <c r="N12" s="10">
        <v>58.38</v>
      </c>
      <c r="O12" s="10">
        <v>78.569999999999993</v>
      </c>
      <c r="P12" t="s">
        <v>15</v>
      </c>
      <c r="Q12" t="s">
        <v>140</v>
      </c>
      <c r="R12">
        <v>37510744</v>
      </c>
    </row>
    <row r="13" spans="1:18" x14ac:dyDescent="0.3">
      <c r="A13" t="s">
        <v>154</v>
      </c>
      <c r="B13" t="s">
        <v>120</v>
      </c>
      <c r="C13">
        <v>2</v>
      </c>
      <c r="D13" s="4">
        <v>81.817999999999998</v>
      </c>
      <c r="E13" s="4">
        <v>60.88</v>
      </c>
      <c r="F13" s="4">
        <v>100</v>
      </c>
      <c r="G13" s="4">
        <v>96.42</v>
      </c>
      <c r="H13" s="4">
        <v>85.71</v>
      </c>
      <c r="I13" s="4">
        <v>66.64</v>
      </c>
      <c r="J13" s="10">
        <v>81.790000000000006</v>
      </c>
      <c r="K13" s="10">
        <v>91.67</v>
      </c>
      <c r="L13" s="10">
        <v>83.69</v>
      </c>
      <c r="M13" s="10">
        <v>92.86</v>
      </c>
      <c r="N13" s="10">
        <v>66.650000000000006</v>
      </c>
      <c r="O13" s="10">
        <v>85.71</v>
      </c>
      <c r="P13" t="s">
        <v>15</v>
      </c>
      <c r="Q13" t="s">
        <v>140</v>
      </c>
      <c r="R13">
        <v>24628026</v>
      </c>
    </row>
    <row r="14" spans="1:18" x14ac:dyDescent="0.3">
      <c r="A14" t="s">
        <v>126</v>
      </c>
      <c r="B14" t="s">
        <v>120</v>
      </c>
      <c r="C14">
        <v>1</v>
      </c>
      <c r="D14" s="4">
        <v>9.0909999999999993</v>
      </c>
      <c r="E14" s="4">
        <v>38.011000000000003</v>
      </c>
      <c r="F14" s="4">
        <v>100</v>
      </c>
      <c r="G14" s="4">
        <v>96.39</v>
      </c>
      <c r="H14" s="4">
        <v>46.15</v>
      </c>
      <c r="I14" s="4">
        <v>46.72</v>
      </c>
      <c r="J14" s="10">
        <v>74.19</v>
      </c>
      <c r="K14" s="10">
        <v>78.569999999999993</v>
      </c>
      <c r="L14" s="10">
        <v>75.13</v>
      </c>
      <c r="M14" s="10">
        <v>81.819999999999993</v>
      </c>
      <c r="N14" s="10">
        <v>48.35</v>
      </c>
      <c r="O14" s="10">
        <v>55.56</v>
      </c>
      <c r="P14" t="s">
        <v>10</v>
      </c>
      <c r="Q14" t="s">
        <v>140</v>
      </c>
      <c r="R14">
        <v>11042164</v>
      </c>
    </row>
    <row r="15" spans="1:18" x14ac:dyDescent="0.3">
      <c r="A15" t="s">
        <v>127</v>
      </c>
      <c r="B15" t="s">
        <v>120</v>
      </c>
      <c r="C15">
        <v>1</v>
      </c>
      <c r="D15" s="4">
        <v>0</v>
      </c>
      <c r="E15" s="4">
        <v>28.61</v>
      </c>
      <c r="F15" s="4">
        <v>100</v>
      </c>
      <c r="G15" s="4">
        <v>94.66</v>
      </c>
      <c r="H15" s="4">
        <v>12.5</v>
      </c>
      <c r="I15" s="4">
        <v>39.83</v>
      </c>
      <c r="J15" s="10">
        <v>70.88</v>
      </c>
      <c r="K15" s="10">
        <v>70</v>
      </c>
      <c r="L15" s="10">
        <v>71.12</v>
      </c>
      <c r="M15" s="10">
        <v>70</v>
      </c>
      <c r="N15" s="10">
        <v>41.41</v>
      </c>
      <c r="O15" s="10">
        <v>18.75</v>
      </c>
      <c r="P15" t="s">
        <v>10</v>
      </c>
      <c r="Q15" t="s">
        <v>140</v>
      </c>
      <c r="R15">
        <v>9922906</v>
      </c>
    </row>
    <row r="16" spans="1:18" x14ac:dyDescent="0.3">
      <c r="A16" t="s">
        <v>152</v>
      </c>
      <c r="B16" t="s">
        <v>120</v>
      </c>
      <c r="C16">
        <v>2</v>
      </c>
      <c r="D16" s="4">
        <v>60</v>
      </c>
      <c r="E16" s="4">
        <v>49.19</v>
      </c>
      <c r="F16" s="4">
        <v>100</v>
      </c>
      <c r="G16" s="4">
        <v>94.96</v>
      </c>
      <c r="H16" s="4">
        <v>77.5</v>
      </c>
      <c r="I16" s="4">
        <v>57.484000000000002</v>
      </c>
      <c r="J16" s="10">
        <v>76.09</v>
      </c>
      <c r="K16" s="10">
        <v>85</v>
      </c>
      <c r="L16" s="10">
        <v>79.040000000000006</v>
      </c>
      <c r="M16" s="10">
        <v>89.29</v>
      </c>
      <c r="N16" s="10">
        <v>57.281999999999996</v>
      </c>
      <c r="O16" s="10">
        <v>76.923000000000002</v>
      </c>
      <c r="P16" t="s">
        <v>10</v>
      </c>
      <c r="Q16" t="s">
        <v>140</v>
      </c>
      <c r="R16">
        <v>39534270</v>
      </c>
    </row>
    <row r="17" spans="1:18" x14ac:dyDescent="0.3">
      <c r="A17" t="s">
        <v>151</v>
      </c>
      <c r="B17" t="s">
        <v>120</v>
      </c>
      <c r="C17">
        <v>2</v>
      </c>
      <c r="D17" s="4">
        <v>9.0909999999999993</v>
      </c>
      <c r="E17" s="4">
        <v>38.576999999999998</v>
      </c>
      <c r="F17" s="4">
        <v>100</v>
      </c>
      <c r="G17" s="4">
        <v>94.66</v>
      </c>
      <c r="H17" s="4">
        <v>65.52</v>
      </c>
      <c r="I17" s="4">
        <v>50.83</v>
      </c>
      <c r="J17" s="10">
        <v>63.6</v>
      </c>
      <c r="K17" s="10">
        <v>60</v>
      </c>
      <c r="L17" s="10">
        <v>64.06</v>
      </c>
      <c r="M17" s="10">
        <v>60</v>
      </c>
      <c r="P17" t="s">
        <v>10</v>
      </c>
      <c r="Q17" t="s">
        <v>140</v>
      </c>
      <c r="R17">
        <v>19629982</v>
      </c>
    </row>
    <row r="18" spans="1:18" x14ac:dyDescent="0.3">
      <c r="A18" t="s">
        <v>128</v>
      </c>
      <c r="B18" t="s">
        <v>120</v>
      </c>
      <c r="C18">
        <v>1</v>
      </c>
      <c r="D18" s="4">
        <v>0</v>
      </c>
      <c r="E18" s="4">
        <v>23.24</v>
      </c>
      <c r="F18" s="4">
        <v>100</v>
      </c>
      <c r="G18" s="4">
        <v>90.89</v>
      </c>
      <c r="H18" s="4">
        <v>0</v>
      </c>
      <c r="I18" s="4">
        <v>29.03</v>
      </c>
      <c r="J18" s="10">
        <v>65.09</v>
      </c>
      <c r="K18" s="10">
        <v>62.5</v>
      </c>
      <c r="L18" s="10">
        <v>65.64</v>
      </c>
      <c r="M18" s="10">
        <v>61.9</v>
      </c>
      <c r="N18" s="10">
        <v>30.469000000000001</v>
      </c>
      <c r="O18" s="10">
        <v>3.7040000000000002</v>
      </c>
      <c r="P18" t="s">
        <v>25</v>
      </c>
      <c r="Q18" t="s">
        <v>140</v>
      </c>
      <c r="R18">
        <v>9542976</v>
      </c>
    </row>
    <row r="19" spans="1:18" x14ac:dyDescent="0.3">
      <c r="A19" t="s">
        <v>129</v>
      </c>
      <c r="B19" t="s">
        <v>120</v>
      </c>
      <c r="C19">
        <v>1</v>
      </c>
      <c r="D19" s="4">
        <v>0</v>
      </c>
      <c r="E19" s="4">
        <v>26.11</v>
      </c>
      <c r="F19" s="4">
        <v>100</v>
      </c>
      <c r="G19" s="4">
        <v>90.56</v>
      </c>
      <c r="H19" s="4">
        <v>5.7140000000000004</v>
      </c>
      <c r="I19" s="4">
        <v>32.743000000000002</v>
      </c>
      <c r="J19" s="10">
        <v>66.89</v>
      </c>
      <c r="K19" s="10">
        <v>64.709999999999994</v>
      </c>
      <c r="L19" s="10">
        <v>67.62</v>
      </c>
      <c r="M19" s="10">
        <v>65.02</v>
      </c>
      <c r="N19" s="10">
        <v>34.287999999999997</v>
      </c>
      <c r="O19" s="10">
        <v>7.6920000000000002</v>
      </c>
      <c r="P19" t="s">
        <v>25</v>
      </c>
      <c r="Q19" t="s">
        <v>140</v>
      </c>
      <c r="R19">
        <v>11299042</v>
      </c>
    </row>
    <row r="20" spans="1:18" x14ac:dyDescent="0.3">
      <c r="A20" t="s">
        <v>130</v>
      </c>
      <c r="B20" t="s">
        <v>120</v>
      </c>
      <c r="C20">
        <v>1</v>
      </c>
      <c r="D20" s="4">
        <v>0</v>
      </c>
      <c r="E20" s="4">
        <v>20.309999999999999</v>
      </c>
      <c r="F20" s="4">
        <v>100</v>
      </c>
      <c r="G20" s="4">
        <v>90.92</v>
      </c>
      <c r="H20" s="4">
        <v>0</v>
      </c>
      <c r="I20" s="4">
        <v>29.19</v>
      </c>
      <c r="J20" s="10">
        <v>65.13</v>
      </c>
      <c r="K20" s="10">
        <v>61.9</v>
      </c>
      <c r="L20" s="10">
        <v>65.58</v>
      </c>
      <c r="M20" s="10">
        <v>61.54</v>
      </c>
      <c r="N20" s="10">
        <v>30.38</v>
      </c>
      <c r="O20" s="10">
        <v>0</v>
      </c>
      <c r="P20" t="s">
        <v>25</v>
      </c>
      <c r="Q20" t="s">
        <v>140</v>
      </c>
      <c r="R20">
        <v>9636962</v>
      </c>
    </row>
    <row r="21" spans="1:18" x14ac:dyDescent="0.3">
      <c r="A21" t="s">
        <v>131</v>
      </c>
      <c r="B21" t="s">
        <v>120</v>
      </c>
      <c r="C21">
        <v>1</v>
      </c>
      <c r="D21" s="4">
        <v>0</v>
      </c>
      <c r="E21" s="4">
        <v>26.02</v>
      </c>
      <c r="F21" s="4">
        <v>100</v>
      </c>
      <c r="G21" s="4">
        <v>92.45</v>
      </c>
      <c r="H21" s="4">
        <v>4.3479999999999999</v>
      </c>
      <c r="I21" s="4">
        <v>32.954999999999998</v>
      </c>
      <c r="J21" s="10">
        <v>67.12</v>
      </c>
      <c r="K21" s="10">
        <v>64.290000000000006</v>
      </c>
      <c r="L21" s="10">
        <v>64.709999999999994</v>
      </c>
      <c r="M21" s="10">
        <v>67.819999999999993</v>
      </c>
      <c r="N21" s="10">
        <v>34.56</v>
      </c>
      <c r="O21" s="10">
        <v>6.25</v>
      </c>
      <c r="P21" t="s">
        <v>25</v>
      </c>
      <c r="Q21" t="s">
        <v>140</v>
      </c>
      <c r="R21">
        <v>10067038</v>
      </c>
    </row>
    <row r="22" spans="1:18" x14ac:dyDescent="0.3">
      <c r="A22" t="s">
        <v>132</v>
      </c>
      <c r="B22" t="s">
        <v>120</v>
      </c>
      <c r="C22">
        <v>1</v>
      </c>
      <c r="D22" s="4">
        <v>0</v>
      </c>
      <c r="E22" s="4">
        <v>31.66</v>
      </c>
      <c r="F22" s="4">
        <v>100</v>
      </c>
      <c r="G22" s="4">
        <v>93.68</v>
      </c>
      <c r="H22" s="4">
        <v>8.3330000000000002</v>
      </c>
      <c r="I22" s="4">
        <v>36.65</v>
      </c>
      <c r="J22" s="10">
        <v>69.790000000000006</v>
      </c>
      <c r="K22" s="10">
        <v>69.23</v>
      </c>
      <c r="L22" s="10">
        <v>69.23</v>
      </c>
      <c r="M22" s="10">
        <v>69.92</v>
      </c>
      <c r="N22" s="10">
        <v>38.659999999999997</v>
      </c>
      <c r="O22" s="10">
        <v>11.54</v>
      </c>
      <c r="P22" t="s">
        <v>34</v>
      </c>
      <c r="Q22" t="s">
        <v>140</v>
      </c>
      <c r="R22">
        <v>12492086</v>
      </c>
    </row>
    <row r="23" spans="1:18" x14ac:dyDescent="0.3">
      <c r="A23" t="s">
        <v>133</v>
      </c>
      <c r="B23" t="s">
        <v>120</v>
      </c>
      <c r="C23">
        <v>1</v>
      </c>
      <c r="D23" s="4">
        <v>12.5</v>
      </c>
      <c r="E23" s="4">
        <v>39.22</v>
      </c>
      <c r="F23" s="4">
        <v>100</v>
      </c>
      <c r="G23" s="4">
        <v>94.47</v>
      </c>
      <c r="H23" s="4">
        <v>18.18</v>
      </c>
      <c r="I23" s="4">
        <v>40.24</v>
      </c>
      <c r="J23" s="10">
        <v>71.94</v>
      </c>
      <c r="K23" s="10">
        <v>72.73</v>
      </c>
      <c r="L23" s="10">
        <v>72.2</v>
      </c>
      <c r="M23" s="10">
        <v>72.73</v>
      </c>
      <c r="N23" s="10">
        <v>42.48</v>
      </c>
      <c r="O23" s="10">
        <v>30</v>
      </c>
      <c r="P23" t="s">
        <v>34</v>
      </c>
      <c r="Q23" t="s">
        <v>140</v>
      </c>
      <c r="R23">
        <v>9827782</v>
      </c>
    </row>
    <row r="24" spans="1:18" x14ac:dyDescent="0.3">
      <c r="A24" t="s">
        <v>134</v>
      </c>
      <c r="B24" t="s">
        <v>120</v>
      </c>
      <c r="C24">
        <v>1</v>
      </c>
      <c r="D24" s="4">
        <v>0</v>
      </c>
      <c r="E24" s="4">
        <v>27.2</v>
      </c>
      <c r="F24" s="4">
        <v>100</v>
      </c>
      <c r="G24" s="4">
        <v>92.12</v>
      </c>
      <c r="H24" s="4">
        <v>8.3330000000000002</v>
      </c>
      <c r="I24" s="4">
        <v>36.17</v>
      </c>
      <c r="J24" s="10">
        <v>68.47</v>
      </c>
      <c r="K24" s="10">
        <v>66.67</v>
      </c>
      <c r="L24" s="10">
        <v>69.150000000000006</v>
      </c>
      <c r="M24" s="10">
        <v>66.67</v>
      </c>
      <c r="N24" s="10">
        <v>37.56</v>
      </c>
      <c r="O24" s="10">
        <v>10.53</v>
      </c>
      <c r="P24" t="s">
        <v>34</v>
      </c>
      <c r="Q24" t="s">
        <v>140</v>
      </c>
      <c r="R24">
        <v>12294230</v>
      </c>
    </row>
    <row r="25" spans="1:18" x14ac:dyDescent="0.3">
      <c r="A25" t="s">
        <v>135</v>
      </c>
      <c r="B25" t="s">
        <v>120</v>
      </c>
      <c r="C25">
        <v>1</v>
      </c>
      <c r="D25" s="4">
        <v>0</v>
      </c>
      <c r="E25" s="4">
        <v>24.95</v>
      </c>
      <c r="F25" s="4">
        <v>100</v>
      </c>
      <c r="G25" s="4">
        <v>91.17</v>
      </c>
      <c r="H25" s="4">
        <v>0</v>
      </c>
      <c r="I25" s="4">
        <v>29.33</v>
      </c>
      <c r="J25" s="10">
        <v>65.58</v>
      </c>
      <c r="K25" s="10">
        <v>63.16</v>
      </c>
      <c r="L25" s="10">
        <v>65.900000000000006</v>
      </c>
      <c r="M25" s="10">
        <v>62.5</v>
      </c>
      <c r="N25" s="10">
        <v>40.64</v>
      </c>
      <c r="O25" s="10">
        <v>25</v>
      </c>
      <c r="P25" t="s">
        <v>34</v>
      </c>
      <c r="Q25" t="s">
        <v>140</v>
      </c>
      <c r="R25">
        <v>9350400</v>
      </c>
    </row>
    <row r="26" spans="1:18" x14ac:dyDescent="0.3">
      <c r="A26" t="s">
        <v>157</v>
      </c>
      <c r="B26" t="s">
        <v>120</v>
      </c>
      <c r="C26">
        <v>2</v>
      </c>
      <c r="D26" s="4">
        <v>81.817999999999998</v>
      </c>
      <c r="E26" s="4">
        <v>61.381</v>
      </c>
      <c r="F26" s="4">
        <v>100</v>
      </c>
      <c r="G26" s="4">
        <v>97.02</v>
      </c>
      <c r="H26" s="4">
        <v>85.71</v>
      </c>
      <c r="I26" s="4">
        <v>67.150000000000006</v>
      </c>
      <c r="J26" s="10">
        <v>82.19</v>
      </c>
      <c r="K26" s="10">
        <v>91.67</v>
      </c>
      <c r="L26" s="10">
        <v>83.91</v>
      </c>
      <c r="M26" s="10">
        <v>92.86</v>
      </c>
      <c r="N26" s="10">
        <v>67.150000000000006</v>
      </c>
      <c r="O26" s="10">
        <v>85.71</v>
      </c>
      <c r="P26" t="s">
        <v>10</v>
      </c>
      <c r="Q26" t="s">
        <v>43</v>
      </c>
      <c r="R26">
        <v>17664440</v>
      </c>
    </row>
    <row r="27" spans="1:18" x14ac:dyDescent="0.3">
      <c r="A27" t="s">
        <v>158</v>
      </c>
      <c r="B27" t="s">
        <v>120</v>
      </c>
      <c r="C27">
        <v>2</v>
      </c>
      <c r="D27" s="4">
        <v>69.23</v>
      </c>
      <c r="E27" s="4">
        <v>51.81</v>
      </c>
      <c r="F27" s="4">
        <v>100</v>
      </c>
      <c r="G27" s="4">
        <v>95.87</v>
      </c>
      <c r="H27" s="4">
        <v>80</v>
      </c>
      <c r="I27" s="4">
        <v>61.088999999999999</v>
      </c>
      <c r="J27" s="10">
        <v>79.03</v>
      </c>
      <c r="K27" s="10">
        <v>88.89</v>
      </c>
      <c r="L27" s="10">
        <v>80.63</v>
      </c>
      <c r="M27" s="10">
        <v>90</v>
      </c>
      <c r="N27" s="10">
        <v>61.12</v>
      </c>
      <c r="O27" s="10">
        <v>80</v>
      </c>
      <c r="P27" t="s">
        <v>10</v>
      </c>
      <c r="Q27" t="s">
        <v>43</v>
      </c>
      <c r="R27">
        <v>15996662</v>
      </c>
    </row>
    <row r="28" spans="1:18" x14ac:dyDescent="0.3">
      <c r="A28" t="s">
        <v>159</v>
      </c>
      <c r="B28" t="s">
        <v>120</v>
      </c>
      <c r="C28">
        <v>2</v>
      </c>
      <c r="D28" s="4">
        <v>63.64</v>
      </c>
      <c r="E28" s="4">
        <v>49.71</v>
      </c>
      <c r="F28" s="4">
        <v>100</v>
      </c>
      <c r="G28" s="4">
        <v>95.45</v>
      </c>
      <c r="H28" s="4">
        <v>80</v>
      </c>
      <c r="I28" s="4">
        <v>59.106000000000002</v>
      </c>
      <c r="J28" s="10">
        <v>77.78</v>
      </c>
      <c r="K28" s="10">
        <v>87.5</v>
      </c>
      <c r="L28" s="10">
        <v>79.86</v>
      </c>
      <c r="M28" s="10">
        <v>90</v>
      </c>
      <c r="N28" s="10">
        <v>59.08</v>
      </c>
      <c r="O28" s="10">
        <v>80</v>
      </c>
      <c r="P28" t="s">
        <v>10</v>
      </c>
      <c r="Q28" t="s">
        <v>43</v>
      </c>
      <c r="R28">
        <v>20731212</v>
      </c>
    </row>
    <row r="29" spans="1:18" x14ac:dyDescent="0.3">
      <c r="A29" t="s">
        <v>162</v>
      </c>
      <c r="B29" t="s">
        <v>120</v>
      </c>
      <c r="C29">
        <v>2</v>
      </c>
      <c r="D29" s="4">
        <v>63.636000000000003</v>
      </c>
      <c r="E29" s="4">
        <v>50.454000000000001</v>
      </c>
      <c r="F29" s="4">
        <v>100</v>
      </c>
      <c r="G29" s="4">
        <v>94.94</v>
      </c>
      <c r="H29" s="4">
        <v>73.332999999999998</v>
      </c>
      <c r="I29" s="4">
        <v>57.655999999999999</v>
      </c>
      <c r="J29" s="10">
        <v>76.31</v>
      </c>
      <c r="K29" s="10">
        <v>83.82</v>
      </c>
      <c r="L29" s="10">
        <v>78.599999999999994</v>
      </c>
      <c r="M29" s="10">
        <v>86.36</v>
      </c>
      <c r="N29" s="10">
        <v>57.37</v>
      </c>
      <c r="O29" s="10">
        <v>72.917000000000002</v>
      </c>
      <c r="P29" t="s">
        <v>15</v>
      </c>
      <c r="Q29" t="s">
        <v>43</v>
      </c>
      <c r="R29">
        <v>48412544</v>
      </c>
    </row>
    <row r="30" spans="1:18" x14ac:dyDescent="0.3">
      <c r="A30" t="s">
        <v>160</v>
      </c>
      <c r="B30" t="s">
        <v>120</v>
      </c>
      <c r="C30">
        <v>2</v>
      </c>
      <c r="D30" s="4">
        <v>70</v>
      </c>
      <c r="E30" s="4">
        <v>52.64</v>
      </c>
      <c r="F30" s="4">
        <v>100</v>
      </c>
      <c r="G30" s="4">
        <v>95.74</v>
      </c>
      <c r="H30" s="4">
        <v>80.488</v>
      </c>
      <c r="I30" s="4">
        <v>60.207000000000001</v>
      </c>
      <c r="J30" s="10">
        <v>77.959999999999994</v>
      </c>
      <c r="K30" s="10">
        <v>87.88</v>
      </c>
      <c r="L30" s="10">
        <v>80.38</v>
      </c>
      <c r="M30" s="10">
        <v>90.38</v>
      </c>
      <c r="N30" s="10">
        <v>59.972999999999999</v>
      </c>
      <c r="O30" s="10">
        <v>80</v>
      </c>
      <c r="P30" t="s">
        <v>15</v>
      </c>
      <c r="Q30" t="s">
        <v>43</v>
      </c>
      <c r="R30">
        <v>34044038</v>
      </c>
    </row>
    <row r="31" spans="1:18" x14ac:dyDescent="0.3">
      <c r="A31" t="s">
        <v>161</v>
      </c>
      <c r="B31" t="s">
        <v>120</v>
      </c>
      <c r="C31">
        <v>2</v>
      </c>
      <c r="D31" s="4">
        <v>64.709999999999994</v>
      </c>
      <c r="E31" s="4">
        <v>50.35</v>
      </c>
      <c r="F31" s="4">
        <v>100</v>
      </c>
      <c r="G31" s="4">
        <v>95.15</v>
      </c>
      <c r="H31" s="4">
        <v>76.92</v>
      </c>
      <c r="I31" s="4">
        <v>58.76</v>
      </c>
      <c r="J31" s="10">
        <v>76.67</v>
      </c>
      <c r="K31" s="10">
        <v>85</v>
      </c>
      <c r="L31" s="10">
        <v>79.58</v>
      </c>
      <c r="M31" s="10">
        <v>88.24</v>
      </c>
      <c r="N31" s="10">
        <v>58.713999999999999</v>
      </c>
      <c r="O31" s="10">
        <v>76.471000000000004</v>
      </c>
      <c r="P31" t="s">
        <v>15</v>
      </c>
      <c r="Q31" t="s">
        <v>43</v>
      </c>
      <c r="R31">
        <v>25210244</v>
      </c>
    </row>
    <row r="32" spans="1:18" x14ac:dyDescent="0.3">
      <c r="A32" t="s">
        <v>98</v>
      </c>
      <c r="B32" t="s">
        <v>120</v>
      </c>
      <c r="C32">
        <v>1</v>
      </c>
      <c r="D32" s="4">
        <v>0</v>
      </c>
      <c r="E32" s="4">
        <v>21.36</v>
      </c>
      <c r="F32" s="4">
        <v>100</v>
      </c>
      <c r="G32" s="4">
        <v>91.56</v>
      </c>
      <c r="H32" s="4">
        <v>3.8460000000000001</v>
      </c>
      <c r="I32" s="4">
        <v>30.934999999999999</v>
      </c>
      <c r="J32" s="10">
        <v>66.290000000000006</v>
      </c>
      <c r="K32" s="10">
        <v>63.64</v>
      </c>
      <c r="L32" s="10">
        <v>63.64</v>
      </c>
      <c r="M32" s="10">
        <v>66.319999999999993</v>
      </c>
      <c r="N32" s="10">
        <v>32.427999999999997</v>
      </c>
      <c r="O32" s="10">
        <v>5.556</v>
      </c>
      <c r="P32" t="s">
        <v>25</v>
      </c>
      <c r="Q32" t="s">
        <v>43</v>
      </c>
      <c r="R32">
        <v>10502438</v>
      </c>
    </row>
    <row r="33" spans="1:18" x14ac:dyDescent="0.3">
      <c r="A33" t="s">
        <v>101</v>
      </c>
      <c r="B33" t="s">
        <v>120</v>
      </c>
      <c r="C33">
        <v>1</v>
      </c>
      <c r="D33" s="4">
        <v>6.6669999999999998</v>
      </c>
      <c r="E33" s="4">
        <v>31.251999999999999</v>
      </c>
      <c r="F33" s="4">
        <v>100</v>
      </c>
      <c r="G33" s="4">
        <v>92.91</v>
      </c>
      <c r="H33" s="4">
        <v>0</v>
      </c>
      <c r="I33" s="4">
        <v>31.05</v>
      </c>
      <c r="J33" s="10">
        <v>67.680000000000007</v>
      </c>
      <c r="K33" s="10">
        <v>66.67</v>
      </c>
      <c r="L33" s="10">
        <v>66.64</v>
      </c>
      <c r="M33" s="10">
        <v>63.64</v>
      </c>
      <c r="N33" s="10">
        <v>33.034999999999997</v>
      </c>
      <c r="O33" s="10">
        <v>6.6669999999999998</v>
      </c>
      <c r="P33" t="s">
        <v>25</v>
      </c>
      <c r="Q33" t="s">
        <v>43</v>
      </c>
      <c r="R33">
        <v>9539248</v>
      </c>
    </row>
    <row r="34" spans="1:18" x14ac:dyDescent="0.3">
      <c r="A34" t="s">
        <v>102</v>
      </c>
      <c r="B34" t="s">
        <v>120</v>
      </c>
      <c r="C34">
        <v>1</v>
      </c>
      <c r="D34" s="4">
        <v>0</v>
      </c>
      <c r="E34" s="4">
        <v>29.21</v>
      </c>
      <c r="F34" s="4">
        <v>100</v>
      </c>
      <c r="G34" s="4">
        <v>93.46</v>
      </c>
      <c r="H34" s="4">
        <v>11.11</v>
      </c>
      <c r="I34" s="4">
        <v>37.340000000000003</v>
      </c>
      <c r="J34" s="10">
        <v>72.28</v>
      </c>
      <c r="K34" s="10">
        <v>71.88</v>
      </c>
      <c r="L34" s="10">
        <v>68.92</v>
      </c>
      <c r="M34" s="10">
        <v>66.67</v>
      </c>
      <c r="N34" s="10">
        <v>38.97</v>
      </c>
      <c r="O34" s="10">
        <v>18.75</v>
      </c>
      <c r="P34" t="s">
        <v>25</v>
      </c>
      <c r="Q34" t="s">
        <v>43</v>
      </c>
      <c r="R34">
        <v>14766162</v>
      </c>
    </row>
    <row r="35" spans="1:18" x14ac:dyDescent="0.3">
      <c r="A35" t="s">
        <v>103</v>
      </c>
      <c r="B35" t="s">
        <v>120</v>
      </c>
      <c r="C35">
        <v>1</v>
      </c>
      <c r="D35" s="4">
        <v>0</v>
      </c>
      <c r="E35" s="4">
        <v>19.82</v>
      </c>
      <c r="F35" s="4">
        <v>100</v>
      </c>
      <c r="G35" s="4">
        <v>91.31</v>
      </c>
      <c r="H35" s="4">
        <v>4.1669999999999998</v>
      </c>
      <c r="I35" s="4">
        <v>31.484000000000002</v>
      </c>
      <c r="J35" s="10">
        <v>65.569999999999993</v>
      </c>
      <c r="K35" s="10">
        <v>63.16</v>
      </c>
      <c r="L35" s="10">
        <v>66.86</v>
      </c>
      <c r="M35" s="10">
        <v>63.64</v>
      </c>
      <c r="N35" s="10">
        <v>32.753</v>
      </c>
      <c r="O35" s="10">
        <v>5.556</v>
      </c>
      <c r="P35" t="s">
        <v>25</v>
      </c>
      <c r="Q35" t="s">
        <v>43</v>
      </c>
      <c r="R35">
        <v>10132036</v>
      </c>
    </row>
    <row r="36" spans="1:18" x14ac:dyDescent="0.3">
      <c r="A36" t="s">
        <v>104</v>
      </c>
      <c r="B36" t="s">
        <v>120</v>
      </c>
      <c r="C36">
        <v>1</v>
      </c>
      <c r="D36" s="4">
        <v>14.29</v>
      </c>
      <c r="E36" s="4">
        <v>39.11</v>
      </c>
      <c r="F36" s="4">
        <v>100</v>
      </c>
      <c r="G36" s="4">
        <v>95.01</v>
      </c>
      <c r="H36" s="4">
        <v>13.33</v>
      </c>
      <c r="I36" s="4">
        <v>38</v>
      </c>
      <c r="J36" s="10">
        <v>71.400000000000006</v>
      </c>
      <c r="K36" s="10">
        <v>72.73</v>
      </c>
      <c r="L36" s="10">
        <v>70.41</v>
      </c>
      <c r="M36" s="10">
        <v>70</v>
      </c>
      <c r="N36" s="10">
        <v>30.84</v>
      </c>
      <c r="O36" s="10">
        <v>0</v>
      </c>
      <c r="P36" t="s">
        <v>34</v>
      </c>
      <c r="Q36" t="s">
        <v>43</v>
      </c>
      <c r="R36">
        <v>9622384</v>
      </c>
    </row>
    <row r="37" spans="1:18" x14ac:dyDescent="0.3">
      <c r="A37" t="s">
        <v>105</v>
      </c>
      <c r="B37" t="s">
        <v>120</v>
      </c>
      <c r="C37">
        <v>1</v>
      </c>
      <c r="D37" s="4">
        <v>62.5</v>
      </c>
      <c r="E37" s="4">
        <v>50.97</v>
      </c>
      <c r="F37" s="4">
        <v>100</v>
      </c>
      <c r="G37" s="4">
        <v>95.87</v>
      </c>
      <c r="H37" s="4">
        <v>41.67</v>
      </c>
      <c r="I37" s="4">
        <v>44.12</v>
      </c>
      <c r="J37" s="10">
        <v>74.52</v>
      </c>
      <c r="K37" s="10">
        <v>80</v>
      </c>
      <c r="L37" s="10">
        <v>74.11</v>
      </c>
      <c r="M37" s="10">
        <v>80</v>
      </c>
      <c r="N37" s="10">
        <v>46.21</v>
      </c>
      <c r="O37" s="10">
        <v>50</v>
      </c>
      <c r="P37" t="s">
        <v>34</v>
      </c>
      <c r="Q37" t="s">
        <v>43</v>
      </c>
      <c r="R37">
        <v>10060296</v>
      </c>
    </row>
    <row r="38" spans="1:18" x14ac:dyDescent="0.3">
      <c r="A38" t="s">
        <v>106</v>
      </c>
      <c r="B38" t="s">
        <v>120</v>
      </c>
      <c r="C38">
        <v>1</v>
      </c>
      <c r="D38" s="4">
        <v>5.8819999999999997</v>
      </c>
      <c r="E38" s="4">
        <v>32.042000000000002</v>
      </c>
      <c r="F38" s="4">
        <v>100</v>
      </c>
      <c r="G38" s="4">
        <v>93.78</v>
      </c>
      <c r="H38" s="4">
        <v>7.6920000000000002</v>
      </c>
      <c r="I38" s="4">
        <v>35.066000000000003</v>
      </c>
      <c r="J38" s="10">
        <v>69.260000000000005</v>
      </c>
      <c r="K38" s="10">
        <v>69.23</v>
      </c>
      <c r="L38" s="10">
        <v>69.260000000000005</v>
      </c>
      <c r="M38" s="10">
        <v>69.23</v>
      </c>
      <c r="N38" s="10">
        <v>37.130000000000003</v>
      </c>
      <c r="O38" s="10">
        <v>10</v>
      </c>
      <c r="P38" t="s">
        <v>34</v>
      </c>
      <c r="Q38" t="s">
        <v>43</v>
      </c>
      <c r="R38">
        <v>9876516</v>
      </c>
    </row>
    <row r="39" spans="1:18" x14ac:dyDescent="0.3">
      <c r="A39" t="s">
        <v>107</v>
      </c>
      <c r="B39" t="s">
        <v>120</v>
      </c>
      <c r="C39">
        <v>1</v>
      </c>
      <c r="D39" s="4">
        <v>0</v>
      </c>
      <c r="E39" s="4">
        <v>22.91</v>
      </c>
      <c r="F39" s="4">
        <v>100</v>
      </c>
      <c r="G39" s="4">
        <v>92.28</v>
      </c>
      <c r="H39" s="4">
        <v>0</v>
      </c>
      <c r="I39" s="4">
        <v>29.39</v>
      </c>
      <c r="J39" s="10">
        <v>65.709999999999994</v>
      </c>
      <c r="K39" s="10">
        <v>63.64</v>
      </c>
      <c r="L39" s="10">
        <v>65.72</v>
      </c>
      <c r="M39" s="10">
        <v>62.5</v>
      </c>
      <c r="N39" s="10">
        <v>31.216000000000001</v>
      </c>
      <c r="O39" s="10">
        <v>4.5449999999999999</v>
      </c>
      <c r="P39" t="s">
        <v>34</v>
      </c>
      <c r="Q39" t="s">
        <v>43</v>
      </c>
      <c r="R39">
        <v>9793594</v>
      </c>
    </row>
    <row r="40" spans="1:18" x14ac:dyDescent="0.3">
      <c r="K40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53C-65D4-4517-BFFB-A9D90E3E4202}">
  <dimension ref="A1:K51"/>
  <sheetViews>
    <sheetView topLeftCell="A13" workbookViewId="0">
      <selection activeCell="J29" sqref="J29"/>
    </sheetView>
  </sheetViews>
  <sheetFormatPr defaultRowHeight="14.4" x14ac:dyDescent="0.3"/>
  <cols>
    <col min="1" max="1" width="16.77734375" bestFit="1" customWidth="1"/>
    <col min="2" max="3" width="22.44140625" bestFit="1" customWidth="1"/>
    <col min="4" max="4" width="9.6640625" bestFit="1" customWidth="1"/>
  </cols>
  <sheetData>
    <row r="1" spans="1:11" x14ac:dyDescent="0.3">
      <c r="A1" t="s">
        <v>148</v>
      </c>
      <c r="B1" t="s">
        <v>149</v>
      </c>
      <c r="C1" t="s">
        <v>150</v>
      </c>
    </row>
    <row r="2" spans="1:11" x14ac:dyDescent="0.3">
      <c r="A2" t="s">
        <v>144</v>
      </c>
      <c r="B2">
        <v>51.726077272727302</v>
      </c>
      <c r="C2">
        <v>3.0076237992857916E-2</v>
      </c>
    </row>
    <row r="3" spans="1:11" x14ac:dyDescent="0.3">
      <c r="A3" t="s">
        <v>143</v>
      </c>
      <c r="B3">
        <v>99.340645454545495</v>
      </c>
      <c r="C3">
        <v>8.636808673883169E-4</v>
      </c>
    </row>
    <row r="4" spans="1:11" x14ac:dyDescent="0.3">
      <c r="A4" t="s">
        <v>142</v>
      </c>
      <c r="B4">
        <v>54.414285714285697</v>
      </c>
      <c r="C4">
        <v>4.5634729882279033E-2</v>
      </c>
    </row>
    <row r="7" spans="1:11" x14ac:dyDescent="0.3">
      <c r="B7" t="s">
        <v>164</v>
      </c>
      <c r="C7" t="s">
        <v>165</v>
      </c>
      <c r="D7" s="5"/>
      <c r="E7" s="5"/>
      <c r="F7" s="5"/>
      <c r="G7" s="5"/>
      <c r="H7" s="5"/>
      <c r="I7" s="5"/>
      <c r="J7" s="5"/>
      <c r="K7" s="5"/>
    </row>
    <row r="8" spans="1:11" x14ac:dyDescent="0.3">
      <c r="A8" t="s">
        <v>166</v>
      </c>
      <c r="B8" t="s">
        <v>170</v>
      </c>
      <c r="C8" t="s">
        <v>174</v>
      </c>
      <c r="D8" s="5"/>
      <c r="E8" s="5"/>
      <c r="F8" s="5"/>
      <c r="G8" s="5"/>
      <c r="H8" s="5"/>
      <c r="I8" s="5"/>
      <c r="J8" s="5"/>
      <c r="K8" s="5"/>
    </row>
    <row r="9" spans="1:11" x14ac:dyDescent="0.3">
      <c r="A9" t="s">
        <v>167</v>
      </c>
      <c r="B9" t="s">
        <v>171</v>
      </c>
      <c r="C9" t="s">
        <v>176</v>
      </c>
      <c r="D9" s="5"/>
      <c r="E9" s="5"/>
      <c r="F9" s="5"/>
      <c r="G9" s="5"/>
      <c r="H9" s="5"/>
      <c r="I9" s="5"/>
      <c r="J9" s="5"/>
      <c r="K9" s="5"/>
    </row>
    <row r="10" spans="1:11" x14ac:dyDescent="0.3">
      <c r="A10" t="s">
        <v>168</v>
      </c>
      <c r="B10" t="s">
        <v>172</v>
      </c>
      <c r="C10" t="s">
        <v>175</v>
      </c>
      <c r="D10" s="5"/>
      <c r="E10" s="5"/>
      <c r="F10" s="5"/>
      <c r="G10" s="5"/>
      <c r="H10" s="5"/>
      <c r="I10" s="5"/>
      <c r="J10" s="5"/>
      <c r="K10" s="5"/>
    </row>
    <row r="11" spans="1:11" x14ac:dyDescent="0.3">
      <c r="A11" t="s">
        <v>169</v>
      </c>
      <c r="B11" t="s">
        <v>173</v>
      </c>
      <c r="C11" t="s">
        <v>177</v>
      </c>
      <c r="D11" s="5"/>
      <c r="E11" s="5"/>
      <c r="F11" s="5"/>
      <c r="G11" s="5"/>
      <c r="H11" s="5"/>
      <c r="I11" s="5"/>
      <c r="J11" s="5"/>
      <c r="K11" s="5"/>
    </row>
    <row r="12" spans="1:1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4" spans="1:11" x14ac:dyDescent="0.3">
      <c r="B14" s="2" t="s">
        <v>100</v>
      </c>
      <c r="E14" s="2" t="s">
        <v>237</v>
      </c>
    </row>
    <row r="15" spans="1:11" x14ac:dyDescent="0.3">
      <c r="A15" t="s">
        <v>236</v>
      </c>
      <c r="B15">
        <v>37</v>
      </c>
      <c r="D15" t="s">
        <v>236</v>
      </c>
      <c r="E15">
        <v>275</v>
      </c>
    </row>
    <row r="16" spans="1:11" x14ac:dyDescent="0.3">
      <c r="A16" t="s">
        <v>236</v>
      </c>
      <c r="B16">
        <v>38</v>
      </c>
      <c r="D16" t="s">
        <v>236</v>
      </c>
      <c r="E16">
        <v>231</v>
      </c>
    </row>
    <row r="17" spans="1:5" x14ac:dyDescent="0.3">
      <c r="A17" t="s">
        <v>236</v>
      </c>
      <c r="B17">
        <v>36</v>
      </c>
      <c r="D17" t="s">
        <v>236</v>
      </c>
      <c r="E17">
        <v>238</v>
      </c>
    </row>
    <row r="18" spans="1:5" x14ac:dyDescent="0.3">
      <c r="A18" t="s">
        <v>236</v>
      </c>
      <c r="B18">
        <v>37</v>
      </c>
      <c r="D18" t="s">
        <v>236</v>
      </c>
      <c r="E18">
        <v>225</v>
      </c>
    </row>
    <row r="19" spans="1:5" x14ac:dyDescent="0.3">
      <c r="A19" t="s">
        <v>236</v>
      </c>
      <c r="B19">
        <v>36</v>
      </c>
      <c r="D19" s="2" t="s">
        <v>117</v>
      </c>
      <c r="E19">
        <f>AVERAGE(E15:E18)</f>
        <v>242.25</v>
      </c>
    </row>
    <row r="20" spans="1:5" x14ac:dyDescent="0.3">
      <c r="A20" t="s">
        <v>236</v>
      </c>
      <c r="B20">
        <v>39</v>
      </c>
      <c r="D20" s="2" t="s">
        <v>240</v>
      </c>
      <c r="E20">
        <f>_xlfn.STDEV.S(E15:E18)</f>
        <v>22.47035083541569</v>
      </c>
    </row>
    <row r="21" spans="1:5" x14ac:dyDescent="0.3">
      <c r="A21" t="s">
        <v>236</v>
      </c>
      <c r="B21">
        <v>41</v>
      </c>
      <c r="D21" s="2" t="s">
        <v>241</v>
      </c>
      <c r="E21">
        <f>(_xlfn.STDEV.S(E15:E18))/(SQRT(4))</f>
        <v>11.235175417707845</v>
      </c>
    </row>
    <row r="22" spans="1:5" x14ac:dyDescent="0.3">
      <c r="A22" t="s">
        <v>236</v>
      </c>
      <c r="B22">
        <v>42</v>
      </c>
    </row>
    <row r="23" spans="1:5" x14ac:dyDescent="0.3">
      <c r="A23" t="s">
        <v>236</v>
      </c>
      <c r="B23">
        <v>40</v>
      </c>
    </row>
    <row r="24" spans="1:5" x14ac:dyDescent="0.3">
      <c r="A24" t="s">
        <v>236</v>
      </c>
      <c r="B24">
        <v>40</v>
      </c>
    </row>
    <row r="25" spans="1:5" x14ac:dyDescent="0.3">
      <c r="A25" t="s">
        <v>236</v>
      </c>
      <c r="B25">
        <v>40</v>
      </c>
    </row>
    <row r="26" spans="1:5" x14ac:dyDescent="0.3">
      <c r="A26" t="s">
        <v>236</v>
      </c>
      <c r="B26">
        <v>40</v>
      </c>
    </row>
    <row r="27" spans="1:5" x14ac:dyDescent="0.3">
      <c r="A27" t="s">
        <v>236</v>
      </c>
      <c r="B27">
        <v>40</v>
      </c>
    </row>
    <row r="28" spans="1:5" x14ac:dyDescent="0.3">
      <c r="A28" t="s">
        <v>236</v>
      </c>
      <c r="B28">
        <v>41</v>
      </c>
    </row>
    <row r="29" spans="1:5" x14ac:dyDescent="0.3">
      <c r="A29" t="s">
        <v>236</v>
      </c>
      <c r="B29">
        <v>40</v>
      </c>
    </row>
    <row r="30" spans="1:5" x14ac:dyDescent="0.3">
      <c r="A30" t="s">
        <v>236</v>
      </c>
      <c r="B30">
        <v>41</v>
      </c>
    </row>
    <row r="31" spans="1:5" x14ac:dyDescent="0.3">
      <c r="A31" t="s">
        <v>236</v>
      </c>
      <c r="B31">
        <v>41</v>
      </c>
    </row>
    <row r="32" spans="1:5" x14ac:dyDescent="0.3">
      <c r="A32" t="s">
        <v>236</v>
      </c>
      <c r="B32">
        <v>38</v>
      </c>
    </row>
    <row r="33" spans="1:2" x14ac:dyDescent="0.3">
      <c r="A33" t="s">
        <v>236</v>
      </c>
      <c r="B33">
        <v>39</v>
      </c>
    </row>
    <row r="34" spans="1:2" x14ac:dyDescent="0.3">
      <c r="A34" t="s">
        <v>236</v>
      </c>
      <c r="B34">
        <v>41</v>
      </c>
    </row>
    <row r="35" spans="1:2" x14ac:dyDescent="0.3">
      <c r="A35" t="s">
        <v>236</v>
      </c>
      <c r="B35">
        <v>40</v>
      </c>
    </row>
    <row r="36" spans="1:2" x14ac:dyDescent="0.3">
      <c r="A36" t="s">
        <v>236</v>
      </c>
      <c r="B36">
        <v>41</v>
      </c>
    </row>
    <row r="37" spans="1:2" x14ac:dyDescent="0.3">
      <c r="A37" t="s">
        <v>236</v>
      </c>
      <c r="B37">
        <v>37</v>
      </c>
    </row>
    <row r="38" spans="1:2" x14ac:dyDescent="0.3">
      <c r="A38" t="s">
        <v>236</v>
      </c>
      <c r="B38">
        <v>36</v>
      </c>
    </row>
    <row r="39" spans="1:2" x14ac:dyDescent="0.3">
      <c r="A39" t="s">
        <v>236</v>
      </c>
      <c r="B39">
        <v>34</v>
      </c>
    </row>
    <row r="40" spans="1:2" x14ac:dyDescent="0.3">
      <c r="A40" t="s">
        <v>236</v>
      </c>
      <c r="B40">
        <v>35</v>
      </c>
    </row>
    <row r="41" spans="1:2" x14ac:dyDescent="0.3">
      <c r="A41" t="s">
        <v>236</v>
      </c>
      <c r="B41">
        <v>36</v>
      </c>
    </row>
    <row r="42" spans="1:2" x14ac:dyDescent="0.3">
      <c r="A42" t="s">
        <v>236</v>
      </c>
      <c r="B42">
        <v>35</v>
      </c>
    </row>
    <row r="43" spans="1:2" x14ac:dyDescent="0.3">
      <c r="A43" t="s">
        <v>236</v>
      </c>
      <c r="B43">
        <v>34</v>
      </c>
    </row>
    <row r="44" spans="1:2" x14ac:dyDescent="0.3">
      <c r="A44" t="s">
        <v>236</v>
      </c>
      <c r="B44">
        <v>35</v>
      </c>
    </row>
    <row r="45" spans="1:2" x14ac:dyDescent="0.3">
      <c r="A45" t="s">
        <v>236</v>
      </c>
      <c r="B45">
        <v>35</v>
      </c>
    </row>
    <row r="46" spans="1:2" x14ac:dyDescent="0.3">
      <c r="A46" t="s">
        <v>236</v>
      </c>
      <c r="B46">
        <v>37</v>
      </c>
    </row>
    <row r="47" spans="1:2" x14ac:dyDescent="0.3">
      <c r="A47" t="s">
        <v>236</v>
      </c>
      <c r="B47">
        <v>36</v>
      </c>
    </row>
    <row r="48" spans="1:2" x14ac:dyDescent="0.3">
      <c r="A48" t="s">
        <v>236</v>
      </c>
      <c r="B48">
        <v>36</v>
      </c>
    </row>
    <row r="49" spans="1:2" x14ac:dyDescent="0.3">
      <c r="A49" s="2" t="s">
        <v>117</v>
      </c>
      <c r="B49">
        <f>AVERAGE(B15:B48)</f>
        <v>38.058823529411768</v>
      </c>
    </row>
    <row r="50" spans="1:2" x14ac:dyDescent="0.3">
      <c r="A50" s="2" t="s">
        <v>238</v>
      </c>
      <c r="B50">
        <f>_xlfn.STDEV.S(B15:B48)</f>
        <v>2.4363556548676031</v>
      </c>
    </row>
    <row r="51" spans="1:2" x14ac:dyDescent="0.3">
      <c r="A51" s="2" t="s">
        <v>239</v>
      </c>
      <c r="B51">
        <f>(_xlfn.STDEV.S(B15:B48))/(SQRT(34))</f>
        <v>0.41783154771374448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A3FC-8773-4071-BD1A-874A4DA397DB}">
  <dimension ref="A1:L35"/>
  <sheetViews>
    <sheetView workbookViewId="0">
      <selection activeCell="N18" sqref="N18"/>
    </sheetView>
  </sheetViews>
  <sheetFormatPr defaultRowHeight="14.4" x14ac:dyDescent="0.3"/>
  <cols>
    <col min="1" max="1" width="16.5546875" bestFit="1" customWidth="1"/>
    <col min="2" max="2" width="14.44140625" bestFit="1" customWidth="1"/>
    <col min="3" max="3" width="10.21875" bestFit="1" customWidth="1"/>
    <col min="4" max="4" width="16.44140625" bestFit="1" customWidth="1"/>
    <col min="6" max="6" width="10.21875" bestFit="1" customWidth="1"/>
    <col min="7" max="7" width="13.21875" bestFit="1" customWidth="1"/>
    <col min="8" max="8" width="14.6640625" bestFit="1" customWidth="1"/>
  </cols>
  <sheetData>
    <row r="1" spans="1:8" x14ac:dyDescent="0.3">
      <c r="A1" s="2" t="s">
        <v>87</v>
      </c>
      <c r="B1" s="2" t="s">
        <v>0</v>
      </c>
      <c r="C1" s="2" t="s">
        <v>1</v>
      </c>
      <c r="D1" s="2" t="s">
        <v>2</v>
      </c>
      <c r="E1" s="2" t="s">
        <v>163</v>
      </c>
      <c r="F1" s="2" t="s">
        <v>65</v>
      </c>
      <c r="G1" s="2" t="s">
        <v>66</v>
      </c>
      <c r="H1" s="2" t="s">
        <v>67</v>
      </c>
    </row>
    <row r="2" spans="1:8" x14ac:dyDescent="0.3">
      <c r="A2" s="5" t="s">
        <v>142</v>
      </c>
      <c r="B2" s="5" t="s">
        <v>140</v>
      </c>
      <c r="C2" s="5" t="s">
        <v>10</v>
      </c>
      <c r="D2" s="5" t="s">
        <v>75</v>
      </c>
      <c r="E2" s="5">
        <v>1</v>
      </c>
      <c r="F2" s="5">
        <v>5520701</v>
      </c>
      <c r="G2" s="5">
        <v>1609932</v>
      </c>
      <c r="H2" s="6">
        <v>0.29199999999999998</v>
      </c>
    </row>
    <row r="3" spans="1:8" x14ac:dyDescent="0.3">
      <c r="A3" s="5" t="s">
        <v>142</v>
      </c>
      <c r="B3" s="5" t="s">
        <v>140</v>
      </c>
      <c r="C3" s="5" t="s">
        <v>10</v>
      </c>
      <c r="D3" s="5" t="s">
        <v>80</v>
      </c>
      <c r="E3" s="5">
        <v>1</v>
      </c>
      <c r="F3" s="5">
        <v>4961173</v>
      </c>
      <c r="G3" s="5">
        <v>1542248</v>
      </c>
      <c r="H3" s="6">
        <v>0.311</v>
      </c>
    </row>
    <row r="4" spans="1:8" x14ac:dyDescent="0.3">
      <c r="A4" s="5" t="s">
        <v>142</v>
      </c>
      <c r="B4" s="5" t="s">
        <v>140</v>
      </c>
      <c r="C4" s="5" t="s">
        <v>15</v>
      </c>
      <c r="D4" s="5" t="s">
        <v>82</v>
      </c>
      <c r="E4" s="5">
        <v>1</v>
      </c>
      <c r="F4" s="5">
        <v>5305388</v>
      </c>
      <c r="G4" s="5">
        <v>1164660</v>
      </c>
      <c r="H4" s="6">
        <v>0.22</v>
      </c>
    </row>
    <row r="5" spans="1:8" x14ac:dyDescent="0.3">
      <c r="A5" s="5" t="s">
        <v>142</v>
      </c>
      <c r="B5" s="5" t="s">
        <v>140</v>
      </c>
      <c r="C5" s="5" t="s">
        <v>15</v>
      </c>
      <c r="D5" s="5" t="s">
        <v>83</v>
      </c>
      <c r="E5" s="5">
        <v>1</v>
      </c>
      <c r="F5" s="5">
        <v>4892203</v>
      </c>
      <c r="G5" s="5">
        <v>1197871</v>
      </c>
      <c r="H5" s="6">
        <v>0.245</v>
      </c>
    </row>
    <row r="6" spans="1:8" x14ac:dyDescent="0.3">
      <c r="A6" s="5" t="s">
        <v>142</v>
      </c>
      <c r="B6" s="5" t="s">
        <v>140</v>
      </c>
      <c r="C6" s="5" t="s">
        <v>20</v>
      </c>
      <c r="D6" s="5" t="s">
        <v>85</v>
      </c>
      <c r="E6" s="5">
        <v>1</v>
      </c>
      <c r="F6" s="5">
        <v>5043708</v>
      </c>
      <c r="G6" s="5">
        <v>1342717</v>
      </c>
      <c r="H6" s="6">
        <v>0.26600000000000001</v>
      </c>
    </row>
    <row r="7" spans="1:8" x14ac:dyDescent="0.3">
      <c r="A7" s="5" t="s">
        <v>142</v>
      </c>
      <c r="B7" s="5" t="s">
        <v>140</v>
      </c>
      <c r="C7" s="5" t="s">
        <v>20</v>
      </c>
      <c r="D7" s="5" t="s">
        <v>86</v>
      </c>
      <c r="E7" s="5">
        <v>1</v>
      </c>
      <c r="F7" s="5">
        <v>5091785</v>
      </c>
      <c r="G7" s="5">
        <v>1346252</v>
      </c>
      <c r="H7" s="6">
        <v>0.26400000000000001</v>
      </c>
    </row>
    <row r="8" spans="1:8" x14ac:dyDescent="0.3">
      <c r="A8" s="5" t="s">
        <v>142</v>
      </c>
      <c r="B8" s="5" t="s">
        <v>140</v>
      </c>
      <c r="C8" s="5" t="s">
        <v>25</v>
      </c>
      <c r="D8" s="5" t="s">
        <v>89</v>
      </c>
      <c r="E8" s="5">
        <v>1</v>
      </c>
      <c r="F8" s="5">
        <v>4771325</v>
      </c>
      <c r="G8" s="5">
        <v>1408431</v>
      </c>
      <c r="H8" s="6">
        <v>0.29499999999999998</v>
      </c>
    </row>
    <row r="9" spans="1:8" x14ac:dyDescent="0.3">
      <c r="A9" s="5" t="s">
        <v>142</v>
      </c>
      <c r="B9" s="5" t="s">
        <v>140</v>
      </c>
      <c r="C9" s="5" t="s">
        <v>25</v>
      </c>
      <c r="D9" s="5" t="s">
        <v>90</v>
      </c>
      <c r="E9" s="5">
        <v>1</v>
      </c>
      <c r="F9" s="5">
        <v>5649344</v>
      </c>
      <c r="G9" s="5">
        <v>1674580</v>
      </c>
      <c r="H9" s="6">
        <v>0.29599999999999999</v>
      </c>
    </row>
    <row r="10" spans="1:8" x14ac:dyDescent="0.3">
      <c r="A10" s="5" t="s">
        <v>142</v>
      </c>
      <c r="B10" s="5" t="s">
        <v>140</v>
      </c>
      <c r="C10" s="5" t="s">
        <v>25</v>
      </c>
      <c r="D10" s="5" t="s">
        <v>91</v>
      </c>
      <c r="E10" s="5">
        <v>1</v>
      </c>
      <c r="F10" s="5">
        <v>4818318</v>
      </c>
      <c r="G10" s="5">
        <v>1404237</v>
      </c>
      <c r="H10" s="6">
        <v>0.29099999999999998</v>
      </c>
    </row>
    <row r="11" spans="1:8" x14ac:dyDescent="0.3">
      <c r="A11" s="5" t="s">
        <v>142</v>
      </c>
      <c r="B11" s="5" t="s">
        <v>140</v>
      </c>
      <c r="C11" s="5" t="s">
        <v>25</v>
      </c>
      <c r="D11" s="5" t="s">
        <v>92</v>
      </c>
      <c r="E11" s="5">
        <v>1</v>
      </c>
      <c r="F11" s="5">
        <v>5033316</v>
      </c>
      <c r="G11" s="5">
        <v>1448574</v>
      </c>
      <c r="H11" s="6">
        <v>0.28799999999999998</v>
      </c>
    </row>
    <row r="12" spans="1:8" x14ac:dyDescent="0.3">
      <c r="A12" s="5" t="s">
        <v>142</v>
      </c>
      <c r="B12" s="5" t="s">
        <v>140</v>
      </c>
      <c r="C12" s="5" t="s">
        <v>34</v>
      </c>
      <c r="D12" s="5" t="s">
        <v>93</v>
      </c>
      <c r="E12" s="5">
        <v>1</v>
      </c>
      <c r="F12" s="5">
        <v>6245913</v>
      </c>
      <c r="G12" s="5">
        <v>1532367</v>
      </c>
      <c r="H12" s="6">
        <v>0.245</v>
      </c>
    </row>
    <row r="13" spans="1:8" x14ac:dyDescent="0.3">
      <c r="A13" s="5" t="s">
        <v>142</v>
      </c>
      <c r="B13" s="5" t="s">
        <v>140</v>
      </c>
      <c r="C13" s="5" t="s">
        <v>34</v>
      </c>
      <c r="D13" s="5" t="s">
        <v>94</v>
      </c>
      <c r="E13" s="5">
        <v>1</v>
      </c>
      <c r="F13" s="5">
        <v>4913728</v>
      </c>
      <c r="G13" s="5">
        <v>1415129</v>
      </c>
      <c r="H13" s="6">
        <v>0.28799999999999998</v>
      </c>
    </row>
    <row r="14" spans="1:8" x14ac:dyDescent="0.3">
      <c r="A14" s="5" t="s">
        <v>142</v>
      </c>
      <c r="B14" s="5" t="s">
        <v>140</v>
      </c>
      <c r="C14" s="5" t="s">
        <v>34</v>
      </c>
      <c r="D14" s="5" t="s">
        <v>95</v>
      </c>
      <c r="E14" s="5">
        <v>1</v>
      </c>
      <c r="F14" s="5">
        <v>6146888</v>
      </c>
      <c r="G14" s="5">
        <v>1785323</v>
      </c>
      <c r="H14" s="6">
        <v>0.28999999999999998</v>
      </c>
    </row>
    <row r="15" spans="1:8" x14ac:dyDescent="0.3">
      <c r="A15" s="5" t="s">
        <v>142</v>
      </c>
      <c r="B15" s="5" t="s">
        <v>140</v>
      </c>
      <c r="C15" s="5" t="s">
        <v>34</v>
      </c>
      <c r="D15" s="5" t="s">
        <v>96</v>
      </c>
      <c r="E15" s="5">
        <v>1</v>
      </c>
      <c r="F15" s="5">
        <v>4675027</v>
      </c>
      <c r="G15" s="5">
        <v>1402742</v>
      </c>
      <c r="H15" s="6">
        <v>0.3</v>
      </c>
    </row>
    <row r="16" spans="1:8" x14ac:dyDescent="0.3">
      <c r="A16" s="5" t="s">
        <v>142</v>
      </c>
      <c r="B16" s="5" t="s">
        <v>43</v>
      </c>
      <c r="C16" s="5" t="s">
        <v>25</v>
      </c>
      <c r="D16" s="5" t="s">
        <v>98</v>
      </c>
      <c r="E16" s="5">
        <v>1</v>
      </c>
      <c r="F16" s="5">
        <v>5251002</v>
      </c>
      <c r="G16" s="5">
        <v>1533496</v>
      </c>
      <c r="H16" s="6">
        <v>0.29199999999999998</v>
      </c>
    </row>
    <row r="17" spans="1:12" x14ac:dyDescent="0.3">
      <c r="A17" s="5" t="s">
        <v>142</v>
      </c>
      <c r="B17" s="5" t="s">
        <v>43</v>
      </c>
      <c r="C17" s="5" t="s">
        <v>25</v>
      </c>
      <c r="D17" s="5" t="s">
        <v>101</v>
      </c>
      <c r="E17" s="5">
        <v>1</v>
      </c>
      <c r="F17" s="5">
        <v>4769367</v>
      </c>
      <c r="G17" s="5">
        <v>1347759</v>
      </c>
      <c r="H17" s="6">
        <v>0.28299999999999997</v>
      </c>
    </row>
    <row r="18" spans="1:12" x14ac:dyDescent="0.3">
      <c r="A18" s="5" t="s">
        <v>142</v>
      </c>
      <c r="B18" s="5" t="s">
        <v>43</v>
      </c>
      <c r="C18" s="5" t="s">
        <v>25</v>
      </c>
      <c r="D18" s="5" t="s">
        <v>102</v>
      </c>
      <c r="E18" s="5">
        <v>1</v>
      </c>
      <c r="F18" s="5">
        <v>7382840</v>
      </c>
      <c r="G18" s="5">
        <v>2008987</v>
      </c>
      <c r="H18" s="6">
        <v>0.27200000000000002</v>
      </c>
      <c r="K18">
        <v>2.8</v>
      </c>
      <c r="L18">
        <f>AVERAGE(K18:K21)</f>
        <v>2.25</v>
      </c>
    </row>
    <row r="19" spans="1:12" x14ac:dyDescent="0.3">
      <c r="A19" s="5" t="s">
        <v>142</v>
      </c>
      <c r="B19" s="5" t="s">
        <v>43</v>
      </c>
      <c r="C19" s="5" t="s">
        <v>25</v>
      </c>
      <c r="D19" s="5" t="s">
        <v>103</v>
      </c>
      <c r="E19" s="5">
        <v>1</v>
      </c>
      <c r="F19" s="5">
        <v>5065773</v>
      </c>
      <c r="G19" s="5">
        <v>1505819</v>
      </c>
      <c r="H19" s="6">
        <v>0.29699999999999999</v>
      </c>
      <c r="K19">
        <v>2.1</v>
      </c>
      <c r="L19">
        <f>_xlfn.STDEV.S(K18:K21)</f>
        <v>0.42031734043061686</v>
      </c>
    </row>
    <row r="20" spans="1:12" x14ac:dyDescent="0.3">
      <c r="A20" s="5" t="s">
        <v>142</v>
      </c>
      <c r="B20" s="5" t="s">
        <v>43</v>
      </c>
      <c r="C20" s="5" t="s">
        <v>34</v>
      </c>
      <c r="D20" s="5" t="s">
        <v>104</v>
      </c>
      <c r="E20" s="5">
        <v>1</v>
      </c>
      <c r="F20" s="5">
        <v>4811072</v>
      </c>
      <c r="G20" s="5">
        <v>1187909</v>
      </c>
      <c r="H20" s="6">
        <v>0.247</v>
      </c>
      <c r="K20">
        <v>1.8</v>
      </c>
    </row>
    <row r="21" spans="1:12" x14ac:dyDescent="0.3">
      <c r="A21" s="5" t="s">
        <v>142</v>
      </c>
      <c r="B21" s="5" t="s">
        <v>43</v>
      </c>
      <c r="C21" s="5" t="s">
        <v>34</v>
      </c>
      <c r="D21" s="5" t="s">
        <v>105</v>
      </c>
      <c r="E21" s="5">
        <v>1</v>
      </c>
      <c r="F21" s="5">
        <v>5029997</v>
      </c>
      <c r="G21" s="5">
        <v>1353580</v>
      </c>
      <c r="H21" s="6">
        <v>0.26900000000000002</v>
      </c>
      <c r="K21">
        <v>2.2999999999999998</v>
      </c>
    </row>
    <row r="22" spans="1:12" x14ac:dyDescent="0.3">
      <c r="A22" s="5" t="s">
        <v>142</v>
      </c>
      <c r="B22" s="5" t="s">
        <v>43</v>
      </c>
      <c r="C22" s="5" t="s">
        <v>34</v>
      </c>
      <c r="D22" s="5" t="s">
        <v>106</v>
      </c>
      <c r="E22" s="5">
        <v>1</v>
      </c>
      <c r="F22" s="5">
        <v>4938105</v>
      </c>
      <c r="G22" s="5">
        <v>1336618</v>
      </c>
      <c r="H22" s="6">
        <v>0.27100000000000002</v>
      </c>
    </row>
    <row r="23" spans="1:12" x14ac:dyDescent="0.3">
      <c r="A23" s="5" t="s">
        <v>142</v>
      </c>
      <c r="B23" s="5" t="s">
        <v>43</v>
      </c>
      <c r="C23" s="5" t="s">
        <v>34</v>
      </c>
      <c r="D23" s="5" t="s">
        <v>107</v>
      </c>
      <c r="E23" s="5">
        <v>1</v>
      </c>
      <c r="F23" s="5">
        <v>4896604</v>
      </c>
      <c r="G23" s="5">
        <v>1357675</v>
      </c>
      <c r="H23" s="6">
        <v>0.27700000000000002</v>
      </c>
    </row>
    <row r="24" spans="1:12" x14ac:dyDescent="0.3">
      <c r="A24" s="5" t="s">
        <v>142</v>
      </c>
      <c r="B24" s="5" t="s">
        <v>140</v>
      </c>
      <c r="C24" s="5" t="s">
        <v>10</v>
      </c>
      <c r="D24" s="5" t="s">
        <v>152</v>
      </c>
      <c r="E24" s="5">
        <v>2</v>
      </c>
      <c r="F24" s="5">
        <v>19767135</v>
      </c>
      <c r="G24" s="5">
        <v>5445059</v>
      </c>
      <c r="H24" s="6">
        <v>0.27500000000000002</v>
      </c>
    </row>
    <row r="25" spans="1:12" x14ac:dyDescent="0.3">
      <c r="A25" s="5" t="s">
        <v>142</v>
      </c>
      <c r="B25" s="5" t="s">
        <v>140</v>
      </c>
      <c r="C25" s="5" t="s">
        <v>10</v>
      </c>
      <c r="D25" s="5" t="s">
        <v>151</v>
      </c>
      <c r="E25" s="5">
        <v>2</v>
      </c>
      <c r="F25" s="5">
        <v>9814991</v>
      </c>
      <c r="G25" s="5">
        <v>2894202</v>
      </c>
      <c r="H25" s="6">
        <v>0.29499999999999998</v>
      </c>
    </row>
    <row r="26" spans="1:12" x14ac:dyDescent="0.3">
      <c r="A26" s="5" t="s">
        <v>142</v>
      </c>
      <c r="B26" s="5" t="s">
        <v>140</v>
      </c>
      <c r="C26" s="5" t="s">
        <v>15</v>
      </c>
      <c r="D26" s="5" t="s">
        <v>153</v>
      </c>
      <c r="E26" s="5">
        <v>2</v>
      </c>
      <c r="F26" s="5">
        <v>18755372</v>
      </c>
      <c r="G26" s="5">
        <v>5688159</v>
      </c>
      <c r="H26" s="6">
        <v>0.30299999999999999</v>
      </c>
    </row>
    <row r="27" spans="1:12" x14ac:dyDescent="0.3">
      <c r="A27" s="5" t="s">
        <v>142</v>
      </c>
      <c r="B27" s="5" t="s">
        <v>140</v>
      </c>
      <c r="C27" s="5" t="s">
        <v>15</v>
      </c>
      <c r="D27" s="5" t="s">
        <v>154</v>
      </c>
      <c r="E27" s="5">
        <v>2</v>
      </c>
      <c r="F27" s="5">
        <v>12314013</v>
      </c>
      <c r="G27" s="5">
        <v>3177647</v>
      </c>
      <c r="H27" s="6">
        <v>0.25800000000000001</v>
      </c>
    </row>
    <row r="28" spans="1:12" x14ac:dyDescent="0.3">
      <c r="A28" s="5" t="s">
        <v>142</v>
      </c>
      <c r="B28" s="5" t="s">
        <v>140</v>
      </c>
      <c r="C28" s="5" t="s">
        <v>20</v>
      </c>
      <c r="D28" s="5" t="s">
        <v>155</v>
      </c>
      <c r="E28" s="5">
        <v>2</v>
      </c>
      <c r="F28" s="5">
        <v>34465923</v>
      </c>
      <c r="G28" s="5">
        <v>9803625</v>
      </c>
      <c r="H28" s="6">
        <v>0.28399999999999997</v>
      </c>
    </row>
    <row r="29" spans="1:12" x14ac:dyDescent="0.3">
      <c r="A29" s="5" t="s">
        <v>142</v>
      </c>
      <c r="B29" s="5" t="s">
        <v>140</v>
      </c>
      <c r="C29" s="5" t="s">
        <v>20</v>
      </c>
      <c r="D29" s="5" t="s">
        <v>156</v>
      </c>
      <c r="E29" s="5">
        <v>2</v>
      </c>
      <c r="F29" s="5">
        <v>13063356</v>
      </c>
      <c r="G29" s="5">
        <v>3365376</v>
      </c>
      <c r="H29" s="6">
        <v>0.25800000000000001</v>
      </c>
    </row>
    <row r="30" spans="1:12" x14ac:dyDescent="0.3">
      <c r="A30" s="5" t="s">
        <v>142</v>
      </c>
      <c r="B30" s="5" t="s">
        <v>43</v>
      </c>
      <c r="C30" s="5" t="s">
        <v>10</v>
      </c>
      <c r="D30" s="5" t="s">
        <v>157</v>
      </c>
      <c r="E30" s="5">
        <v>2</v>
      </c>
      <c r="F30" s="5">
        <v>8832220</v>
      </c>
      <c r="G30" s="5">
        <v>2766662</v>
      </c>
      <c r="H30" s="6">
        <v>0.313</v>
      </c>
    </row>
    <row r="31" spans="1:12" x14ac:dyDescent="0.3">
      <c r="A31" s="5" t="s">
        <v>142</v>
      </c>
      <c r="B31" s="5" t="s">
        <v>43</v>
      </c>
      <c r="C31" s="5" t="s">
        <v>10</v>
      </c>
      <c r="D31" s="5" t="s">
        <v>158</v>
      </c>
      <c r="E31" s="5">
        <v>2</v>
      </c>
      <c r="F31" s="5">
        <v>7998331</v>
      </c>
      <c r="G31" s="5">
        <v>2397164</v>
      </c>
      <c r="H31" s="6">
        <v>0.3</v>
      </c>
    </row>
    <row r="32" spans="1:12" x14ac:dyDescent="0.3">
      <c r="A32" s="5" t="s">
        <v>142</v>
      </c>
      <c r="B32" s="5" t="s">
        <v>43</v>
      </c>
      <c r="C32" s="5" t="s">
        <v>10</v>
      </c>
      <c r="D32" s="5" t="s">
        <v>159</v>
      </c>
      <c r="E32" s="5">
        <v>2</v>
      </c>
      <c r="F32" s="5">
        <v>10365606</v>
      </c>
      <c r="G32" s="5">
        <v>2598468</v>
      </c>
      <c r="H32" s="6">
        <v>0.251</v>
      </c>
    </row>
    <row r="33" spans="1:8" x14ac:dyDescent="0.3">
      <c r="A33" s="5" t="s">
        <v>142</v>
      </c>
      <c r="B33" s="5" t="s">
        <v>43</v>
      </c>
      <c r="C33" s="5" t="s">
        <v>15</v>
      </c>
      <c r="D33" s="5" t="s">
        <v>162</v>
      </c>
      <c r="E33" s="5">
        <v>2</v>
      </c>
      <c r="F33" s="5">
        <v>24206272</v>
      </c>
      <c r="G33" s="5">
        <v>7272444</v>
      </c>
      <c r="H33" s="6">
        <v>0.3</v>
      </c>
    </row>
    <row r="34" spans="1:8" x14ac:dyDescent="0.3">
      <c r="A34" s="5" t="s">
        <v>142</v>
      </c>
      <c r="B34" s="5" t="s">
        <v>43</v>
      </c>
      <c r="C34" s="5" t="s">
        <v>15</v>
      </c>
      <c r="D34" s="5" t="s">
        <v>160</v>
      </c>
      <c r="E34" s="5">
        <v>2</v>
      </c>
      <c r="F34" s="5">
        <v>17022019</v>
      </c>
      <c r="G34" s="5">
        <v>5243839</v>
      </c>
      <c r="H34" s="6">
        <v>0.308</v>
      </c>
    </row>
    <row r="35" spans="1:8" x14ac:dyDescent="0.3">
      <c r="A35" s="5" t="s">
        <v>142</v>
      </c>
      <c r="B35" s="5" t="s">
        <v>43</v>
      </c>
      <c r="C35" s="5" t="s">
        <v>15</v>
      </c>
      <c r="D35" s="5" t="s">
        <v>161</v>
      </c>
      <c r="E35" s="5">
        <v>2</v>
      </c>
      <c r="F35" s="5">
        <v>12605122</v>
      </c>
      <c r="G35" s="5">
        <v>3907271</v>
      </c>
      <c r="H35" s="6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TrimGaloreFastQC</vt:lpstr>
      <vt:lpstr>MethylKitNumCs</vt:lpstr>
      <vt:lpstr>BamtoolsStats</vt:lpstr>
      <vt:lpstr>WBGSBamtoolsStats</vt:lpstr>
      <vt:lpstr>MethylKitDepth</vt:lpstr>
      <vt:lpstr>MethylKitPercMethperBase</vt:lpstr>
      <vt:lpstr>MeanPercMeth</vt:lpstr>
      <vt:lpstr>InsertSize</vt:lpstr>
      <vt:lpstr>BismarkDirectional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KERNS</dc:creator>
  <cp:lastModifiedBy>Emily Vaughn Kerns</cp:lastModifiedBy>
  <dcterms:created xsi:type="dcterms:W3CDTF">2023-10-03T17:40:43Z</dcterms:created>
  <dcterms:modified xsi:type="dcterms:W3CDTF">2026-02-04T18:53:55Z</dcterms:modified>
</cp:coreProperties>
</file>